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ul\Web site project\EBM Project\"/>
    </mc:Choice>
  </mc:AlternateContent>
  <xr:revisionPtr revIDLastSave="0" documentId="13_ncr:1_{03A1A5EF-F7F5-4097-A3D4-EBC51CF766C8}" xr6:coauthVersionLast="47" xr6:coauthVersionMax="47" xr10:uidLastSave="{00000000-0000-0000-0000-000000000000}"/>
  <bookViews>
    <workbookView xWindow="-120" yWindow="-120" windowWidth="29040" windowHeight="15720" activeTab="4" xr2:uid="{63F382D6-9FFA-4FBB-A819-A2C2CC5DB7BE}"/>
  </bookViews>
  <sheets>
    <sheet name="1- SMART Tracking Dasboard" sheetId="1" r:id="rId1"/>
    <sheet name="2- Milestone Details" sheetId="2" r:id="rId2"/>
    <sheet name="3- WBS Tracker" sheetId="6" r:id="rId3"/>
    <sheet name="4- SMART Matrix" sheetId="7" r:id="rId4"/>
    <sheet name="5- Roadmap" sheetId="5" r:id="rId5"/>
    <sheet name="6- Risks" sheetId="3" r:id="rId6"/>
    <sheet name="7- Action Log" sheetId="9" r:id="rId7"/>
    <sheet name="8- Lessons Learned" sheetId="4" r:id="rId8"/>
    <sheet name="9- Version Control" sheetId="10" r:id="rId9"/>
    <sheet name="10- Builder CC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5" i="5" l="1"/>
  <c r="T4" i="5"/>
  <c r="T3" i="5"/>
  <c r="I56" i="5"/>
  <c r="I48" i="5"/>
  <c r="I43" i="5"/>
  <c r="I36" i="5"/>
  <c r="I29" i="5"/>
  <c r="I18" i="5"/>
  <c r="I7" i="5"/>
  <c r="I49" i="5"/>
  <c r="I44" i="5"/>
  <c r="I37" i="5"/>
  <c r="I30" i="5"/>
  <c r="G29" i="5"/>
  <c r="H29" i="5" s="1"/>
  <c r="G36" i="5"/>
  <c r="H36" i="5" s="1"/>
  <c r="G43" i="5"/>
  <c r="H43" i="5" s="1"/>
  <c r="G48" i="5"/>
  <c r="G56" i="5"/>
  <c r="H56" i="5" s="1"/>
  <c r="G18" i="5"/>
  <c r="G7" i="5"/>
  <c r="I50" i="5"/>
  <c r="I51" i="5"/>
  <c r="I52" i="5"/>
  <c r="I53" i="5"/>
  <c r="I54" i="5"/>
  <c r="I45" i="5"/>
  <c r="I46" i="5"/>
  <c r="I47" i="5"/>
  <c r="I38" i="5"/>
  <c r="I39" i="5"/>
  <c r="I40" i="5"/>
  <c r="I41" i="5"/>
  <c r="I42" i="5"/>
  <c r="I31" i="5"/>
  <c r="I32" i="5"/>
  <c r="I33" i="5"/>
  <c r="I34" i="5"/>
  <c r="I35" i="5"/>
  <c r="I20" i="5"/>
  <c r="I21" i="5"/>
  <c r="I22" i="5"/>
  <c r="I23" i="5"/>
  <c r="I24" i="5"/>
  <c r="I25" i="5"/>
  <c r="I26" i="5"/>
  <c r="I27" i="5"/>
  <c r="I28" i="5"/>
  <c r="I19" i="5"/>
  <c r="I9" i="5"/>
  <c r="I10" i="5"/>
  <c r="I11" i="5"/>
  <c r="I12" i="5"/>
  <c r="I13" i="5"/>
  <c r="I14" i="5"/>
  <c r="I15" i="5"/>
  <c r="I16" i="5"/>
  <c r="I17" i="5"/>
  <c r="I8" i="5"/>
  <c r="C18" i="7"/>
  <c r="D22" i="2" a="1"/>
  <c r="D22" i="2" s="1"/>
  <c r="J29" i="5" l="1"/>
  <c r="K29" i="5" s="1"/>
  <c r="J36" i="5"/>
  <c r="K36" i="5" s="1"/>
  <c r="J18" i="5"/>
  <c r="K18" i="5" s="1"/>
  <c r="J7" i="5"/>
  <c r="K7" i="5" s="1"/>
  <c r="J43" i="5"/>
  <c r="K43" i="5" s="1"/>
  <c r="H48" i="5"/>
  <c r="J48" i="5"/>
  <c r="K48" i="5" s="1"/>
  <c r="H18" i="5"/>
  <c r="H7" i="5"/>
  <c r="H58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<sst xmlns="http://schemas.openxmlformats.org/spreadsheetml/2006/main" count="319" uniqueCount="185">
  <si>
    <t>ID</t>
  </si>
  <si>
    <t>Milestone</t>
  </si>
  <si>
    <t>Status</t>
  </si>
  <si>
    <t>Progress</t>
  </si>
  <si>
    <t>Priority</t>
  </si>
  <si>
    <t>Next Action</t>
  </si>
  <si>
    <t>M1</t>
  </si>
  <si>
    <t>Foundation</t>
  </si>
  <si>
    <t>Complete</t>
  </si>
  <si>
    <t>High</t>
  </si>
  <si>
    <t>Closed</t>
  </si>
  <si>
    <t>M2</t>
  </si>
  <si>
    <t>Story</t>
  </si>
  <si>
    <t>In Progress</t>
  </si>
  <si>
    <t>Complete Story Script</t>
  </si>
  <si>
    <t>M3</t>
  </si>
  <si>
    <t>Branding</t>
  </si>
  <si>
    <t>Not Started</t>
  </si>
  <si>
    <t>Create Brand Kit</t>
  </si>
  <si>
    <t>M4</t>
  </si>
  <si>
    <t>Website</t>
  </si>
  <si>
    <t>Buy Domain</t>
  </si>
  <si>
    <t>M5</t>
  </si>
  <si>
    <t>Community</t>
  </si>
  <si>
    <t>Medium</t>
  </si>
  <si>
    <t>Define Registration Form</t>
  </si>
  <si>
    <t>M6</t>
  </si>
  <si>
    <t>Board Game</t>
  </si>
  <si>
    <t>Define Rules</t>
  </si>
  <si>
    <t>M7</t>
  </si>
  <si>
    <t>Launch</t>
  </si>
  <si>
    <t>Low</t>
  </si>
  <si>
    <t>N/A</t>
  </si>
  <si>
    <t>SMART Tracking Dashboard</t>
  </si>
  <si>
    <t>Milestone Details</t>
  </si>
  <si>
    <t>Por cada milestone:</t>
  </si>
  <si>
    <t>Deliverable</t>
  </si>
  <si>
    <t>Thinking Blueprint</t>
  </si>
  <si>
    <t>Yes</t>
  </si>
  <si>
    <t>Mission</t>
  </si>
  <si>
    <t>Strategy</t>
  </si>
  <si>
    <t>Process</t>
  </si>
  <si>
    <t>Action</t>
  </si>
  <si>
    <t>Results</t>
  </si>
  <si>
    <t>Transformation</t>
  </si>
  <si>
    <t>No</t>
  </si>
  <si>
    <t>Ecosystem</t>
  </si>
  <si>
    <t>Story Script</t>
  </si>
  <si>
    <t>Risk</t>
  </si>
  <si>
    <t>Impact</t>
  </si>
  <si>
    <t>Probability</t>
  </si>
  <si>
    <t>Owner</t>
  </si>
  <si>
    <t>R1</t>
  </si>
  <si>
    <t>Scope Creep</t>
  </si>
  <si>
    <t>Raul</t>
  </si>
  <si>
    <t>R2</t>
  </si>
  <si>
    <t>Weekly Planning</t>
  </si>
  <si>
    <t>R3</t>
  </si>
  <si>
    <t>Perfectionism</t>
  </si>
  <si>
    <t>Lessons Learned</t>
  </si>
  <si>
    <t>Date</t>
  </si>
  <si>
    <t>Complete narrative first</t>
  </si>
  <si>
    <t>Overall Progress %</t>
  </si>
  <si>
    <t>Current Milestone</t>
  </si>
  <si>
    <t>Open Risks</t>
  </si>
  <si>
    <t>Completed Deliverables</t>
  </si>
  <si>
    <t>Pending Deliverables</t>
  </si>
  <si>
    <t>KPI's</t>
  </si>
  <si>
    <t>Project Health</t>
  </si>
  <si>
    <r>
      <rPr>
        <sz val="11"/>
        <color theme="9"/>
        <rFont val="Aptos Narrow"/>
        <family val="2"/>
        <scheme val="minor"/>
      </rPr>
      <t>🟢</t>
    </r>
    <r>
      <rPr>
        <sz val="11"/>
        <color theme="1"/>
        <rFont val="Aptos Narrow"/>
        <family val="2"/>
        <scheme val="minor"/>
      </rPr>
      <t xml:space="preserve"> On Track</t>
    </r>
  </si>
  <si>
    <r>
      <rPr>
        <sz val="11"/>
        <color rgb="FFFFC000"/>
        <rFont val="Aptos Narrow"/>
        <family val="2"/>
        <scheme val="minor"/>
      </rPr>
      <t>🟡</t>
    </r>
    <r>
      <rPr>
        <sz val="11"/>
        <color theme="1"/>
        <rFont val="Aptos Narrow"/>
        <family val="2"/>
        <scheme val="minor"/>
      </rPr>
      <t xml:space="preserve"> Attention</t>
    </r>
  </si>
  <si>
    <r>
      <rPr>
        <sz val="11"/>
        <color rgb="FFFF0000"/>
        <rFont val="Aptos Narrow"/>
        <family val="2"/>
        <scheme val="minor"/>
      </rPr>
      <t>🔴</t>
    </r>
    <r>
      <rPr>
        <sz val="11"/>
        <color theme="1"/>
        <rFont val="Aptos Narrow"/>
        <family val="2"/>
        <scheme val="minor"/>
      </rPr>
      <t xml:space="preserve"> Critical</t>
    </r>
  </si>
  <si>
    <t>Progress %</t>
  </si>
  <si>
    <t>Target Date</t>
  </si>
  <si>
    <t>Release</t>
  </si>
  <si>
    <t>Milestone Tracker</t>
  </si>
  <si>
    <t>WBS ID</t>
  </si>
  <si>
    <t>Parent</t>
  </si>
  <si>
    <t>%</t>
  </si>
  <si>
    <t>The Builder™</t>
  </si>
  <si>
    <t>Identity</t>
  </si>
  <si>
    <t>Builder Manifesto™</t>
  </si>
  <si>
    <t>3.2.1</t>
  </si>
  <si>
    <t>Thinking Blueprint™</t>
  </si>
  <si>
    <t>3.2.2</t>
  </si>
  <si>
    <t>3.2.3</t>
  </si>
  <si>
    <t>3.2.4</t>
  </si>
  <si>
    <t>WBS Tracker</t>
  </si>
  <si>
    <t>SMART Requirement</t>
  </si>
  <si>
    <t>Completed</t>
  </si>
  <si>
    <t>SMART Matrix</t>
  </si>
  <si>
    <t>Score</t>
  </si>
  <si>
    <t>Response</t>
  </si>
  <si>
    <t>Focus on v1</t>
  </si>
  <si>
    <t>Too Many Ideas</t>
  </si>
  <si>
    <t>Freeze Scope</t>
  </si>
  <si>
    <t>Time Constraints</t>
  </si>
  <si>
    <t>R4</t>
  </si>
  <si>
    <t>MVP First</t>
  </si>
  <si>
    <t>Risk Register</t>
  </si>
  <si>
    <t>Task</t>
  </si>
  <si>
    <t>Start</t>
  </si>
  <si>
    <t>Finish</t>
  </si>
  <si>
    <t>Aquí es donde realmente trabajarás día a día.</t>
  </si>
  <si>
    <t>Action ID</t>
  </si>
  <si>
    <t>Due Date</t>
  </si>
  <si>
    <t>A001</t>
  </si>
  <si>
    <t>Open</t>
  </si>
  <si>
    <t>A002</t>
  </si>
  <si>
    <t>Create Logo Draft</t>
  </si>
  <si>
    <t>A003</t>
  </si>
  <si>
    <t>Action Log</t>
  </si>
  <si>
    <t>Lesson Learned</t>
  </si>
  <si>
    <t>Story before branding</t>
  </si>
  <si>
    <t>Identity emerged before website</t>
  </si>
  <si>
    <t>Prioritize message before technology</t>
  </si>
  <si>
    <t>Version Control</t>
  </si>
  <si>
    <t>Version</t>
  </si>
  <si>
    <t>Changes</t>
  </si>
  <si>
    <t>Initial PMP Package</t>
  </si>
  <si>
    <t>Story Completed</t>
  </si>
  <si>
    <t>Branding Added</t>
  </si>
  <si>
    <t>Website Published</t>
  </si>
  <si>
    <t>Builder Command Center</t>
  </si>
  <si>
    <t>Current Milestone:</t>
  </si>
  <si>
    <t>M2 - Story Completed</t>
  </si>
  <si>
    <t>Current Objective:</t>
  </si>
  <si>
    <t>Next Deliverable:</t>
  </si>
  <si>
    <t>Storyboard</t>
  </si>
  <si>
    <t>Project Completion:</t>
  </si>
  <si>
    <t>Next Review:</t>
  </si>
  <si>
    <t>Weekly</t>
  </si>
  <si>
    <t>Think → Plan → Build → Improve → Transform</t>
  </si>
  <si>
    <t>M1 Foundation</t>
  </si>
  <si>
    <t>M2 Story</t>
  </si>
  <si>
    <t>M3 Branding</t>
  </si>
  <si>
    <t>M4 Website</t>
  </si>
  <si>
    <t>M5 Community</t>
  </si>
  <si>
    <t>M6 Board Game</t>
  </si>
  <si>
    <t>M7 Release</t>
  </si>
  <si>
    <t>Start Date:</t>
  </si>
  <si>
    <t>Finish Date:</t>
  </si>
  <si>
    <t>Duration
Days</t>
  </si>
  <si>
    <t>Effort
Hours</t>
  </si>
  <si>
    <t>Progress
%</t>
  </si>
  <si>
    <t>Project Charter v1.0</t>
  </si>
  <si>
    <t>Project Management Plan v1.0</t>
  </si>
  <si>
    <t>WBS (Work Breakdown Structure) v1.0</t>
  </si>
  <si>
    <t>Strategic Roadmap v1.0</t>
  </si>
  <si>
    <t>SMART Milestone v1.0</t>
  </si>
  <si>
    <t>SMART Tracking Matrix v1.0</t>
  </si>
  <si>
    <t>Risk Register v1.0</t>
  </si>
  <si>
    <t>Builder Command Center Struture</t>
  </si>
  <si>
    <t>Project Folder Structure</t>
  </si>
  <si>
    <t>Version Control Structure</t>
  </si>
  <si>
    <t>Logo</t>
  </si>
  <si>
    <t>Color Palette</t>
  </si>
  <si>
    <t>Typography</t>
  </si>
  <si>
    <t>Brand Guidelines</t>
  </si>
  <si>
    <t>Poster</t>
  </si>
  <si>
    <t>Infographic Set</t>
  </si>
  <si>
    <t>Domain</t>
  </si>
  <si>
    <t>Hosting</t>
  </si>
  <si>
    <t>Homepage</t>
  </si>
  <si>
    <t>Builder Manifesto</t>
  </si>
  <si>
    <t>Contact</t>
  </si>
  <si>
    <t>Registration Form</t>
  </si>
  <si>
    <t>Newsletter</t>
  </si>
  <si>
    <t>Communication Channel</t>
  </si>
  <si>
    <t>First 10 Builders</t>
  </si>
  <si>
    <t>Rules</t>
  </si>
  <si>
    <t>Cards</t>
  </si>
  <si>
    <t>Dice</t>
  </si>
  <si>
    <t>Prototype</t>
  </si>
  <si>
    <t>Play Test</t>
  </si>
  <si>
    <t>Release Date</t>
  </si>
  <si>
    <t>CompletedDays</t>
  </si>
  <si>
    <t>Remaining
Days</t>
  </si>
  <si>
    <t>Window</t>
  </si>
  <si>
    <t>TODAY:</t>
  </si>
  <si>
    <t>SINCE START PJ:</t>
  </si>
  <si>
    <t>About  (Our Story)</t>
  </si>
  <si>
    <t>Copyright</t>
  </si>
  <si>
    <t>Board</t>
  </si>
  <si>
    <t>jijahb - 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</si>
</sst>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9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9" fontId="0" fillId="0" borderId="0" xfId="0" applyNumberFormat="1"/>
    <xf numFmtId="9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17" fontId="3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3" fillId="0" borderId="1" xfId="0" applyNumberFormat="1" applyFont="1" applyBorder="1" applyAlignment="1">
      <alignment vertical="center" wrapText="1"/>
    </xf>
    <xf numFmtId="0" fontId="2" fillId="0" borderId="0" xfId="0" applyFont="1"/>
    <xf numFmtId="2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Fill="1" applyBorder="1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>
                <a:effectLst/>
              </a:rPr>
              <a:t>English Builder Machine™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Project</a:t>
            </a:r>
          </a:p>
        </c:rich>
      </c:tx>
      <c:layout>
        <c:manualLayout>
          <c:xMode val="edge"/>
          <c:yMode val="edge"/>
          <c:x val="0.35455895699953394"/>
          <c:y val="1.4087464418546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'5- Roadmap'!$B$6</c:f>
              <c:strCache>
                <c:ptCount val="1"/>
                <c:pt idx="0">
                  <c:v>Milestone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'5- Roadmap'!$B$7:$B$56</c15:sqref>
                  </c15:fullRef>
                </c:ext>
              </c:extLst>
              <c:f>('5- Roadmap'!$B$7,'5- Roadmap'!$B$18,'5- Roadmap'!$B$29,'5- Roadmap'!$B$36,'5- Roadmap'!$B$43,'5- Roadmap'!$B$48,'5- Roadmap'!$B$55:$B$56)</c:f>
              <c:strCache>
                <c:ptCount val="8"/>
                <c:pt idx="0">
                  <c:v>M1 Foundation</c:v>
                </c:pt>
                <c:pt idx="1">
                  <c:v>M2 Story</c:v>
                </c:pt>
                <c:pt idx="2">
                  <c:v>M3 Branding</c:v>
                </c:pt>
                <c:pt idx="3">
                  <c:v>M4 Website</c:v>
                </c:pt>
                <c:pt idx="4">
                  <c:v>M5 Community</c:v>
                </c:pt>
                <c:pt idx="5">
                  <c:v>M6 Board Game</c:v>
                </c:pt>
                <c:pt idx="7">
                  <c:v>M7 Release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'5- Roadmap'!$E$7:$E$57</c15:sqref>
                  </c15:fullRef>
                </c:ext>
              </c:extLst>
              <c:f>('5- Roadmap'!$E$7,'5- Roadmap'!$E$18,'5- Roadmap'!$E$29,'5- Roadmap'!$E$36,'5- Roadmap'!$E$43,'5- Roadmap'!$E$48,'5- Roadmap'!$E$55:$E$56)</c:f>
              <c:numCache>
                <c:formatCode>d\-mmm\-yy</c:formatCode>
                <c:ptCount val="8"/>
                <c:pt idx="0">
                  <c:v>46296</c:v>
                </c:pt>
                <c:pt idx="1">
                  <c:v>46310</c:v>
                </c:pt>
                <c:pt idx="2">
                  <c:v>46327</c:v>
                </c:pt>
                <c:pt idx="3">
                  <c:v>46341</c:v>
                </c:pt>
                <c:pt idx="4">
                  <c:v>46388</c:v>
                </c:pt>
                <c:pt idx="5">
                  <c:v>46402</c:v>
                </c:pt>
                <c:pt idx="7">
                  <c:v>46433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4E2E-8893-91AF0EA9360A}"/>
            </c:ext>
          </c:extLst>
        </c:ser>
        <c:ser>
          <c:idx val="1"/>
          <c:order val="1"/>
          <c:tx>
            <c:strRef>
              <c:f>'5- Roadmap'!$E$6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'5- Roadmap'!$B$7:$B$56</c15:sqref>
                  </c15:fullRef>
                </c:ext>
              </c:extLst>
              <c:f>('5- Roadmap'!$B$7,'5- Roadmap'!$B$18,'5- Roadmap'!$B$29,'5- Roadmap'!$B$36,'5- Roadmap'!$B$43,'5- Roadmap'!$B$48,'5- Roadmap'!$B$55:$B$56)</c:f>
              <c:strCache>
                <c:ptCount val="8"/>
                <c:pt idx="0">
                  <c:v>M1 Foundation</c:v>
                </c:pt>
                <c:pt idx="1">
                  <c:v>M2 Story</c:v>
                </c:pt>
                <c:pt idx="2">
                  <c:v>M3 Branding</c:v>
                </c:pt>
                <c:pt idx="3">
                  <c:v>M4 Website</c:v>
                </c:pt>
                <c:pt idx="4">
                  <c:v>M5 Community</c:v>
                </c:pt>
                <c:pt idx="5">
                  <c:v>M6 Board Game</c:v>
                </c:pt>
                <c:pt idx="7">
                  <c:v>M7 Release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'5- Roadmap'!$G$7:$G$57</c15:sqref>
                  </c15:fullRef>
                </c:ext>
              </c:extLst>
              <c:f>('5- Roadmap'!$G$7,'5- Roadmap'!$G$18,'5- Roadmap'!$G$29,'5- Roadmap'!$G$36,'5- Roadmap'!$G$43,'5- Roadmap'!$G$48,'5- Roadmap'!$G$55:$G$56)</c:f>
              <c:numCache>
                <c:formatCode>General</c:formatCode>
                <c:ptCount val="8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46</c:v>
                </c:pt>
                <c:pt idx="4">
                  <c:v>30</c:v>
                </c:pt>
                <c:pt idx="5">
                  <c:v>44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7-4E2E-8893-91AF0EA9360A}"/>
            </c:ext>
          </c:extLst>
        </c:ser>
        <c:ser>
          <c:idx val="2"/>
          <c:order val="2"/>
          <c:tx>
            <c:strRef>
              <c:f>'5- Roadmap'!$J$6</c:f>
              <c:strCache>
                <c:ptCount val="1"/>
                <c:pt idx="0">
                  <c:v>CompletedDays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M1 Foundation</c:v>
              </c:pt>
              <c:pt idx="1">
                <c:v>M2 Story</c:v>
              </c:pt>
              <c:pt idx="2">
                <c:v>M3 Branding</c:v>
              </c:pt>
              <c:pt idx="3">
                <c:v>M4 Website</c:v>
              </c:pt>
              <c:pt idx="4">
                <c:v>M5 Community</c:v>
              </c:pt>
              <c:pt idx="5">
                <c:v>M6 Board Game</c:v>
              </c:pt>
              <c:pt idx="7">
                <c:v>M7 Release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'5- Roadmap'!$J$7:$J$56</c15:sqref>
                  </c15:fullRef>
                </c:ext>
              </c:extLst>
              <c:f>('5- Roadmap'!$J$7,'5- Roadmap'!$J$18,'5- Roadmap'!$J$29,'5- Roadmap'!$J$36,'5- Roadmap'!$J$43,'5- Roadmap'!$J$48,'5- Roadmap'!$J$55:$J$56)</c:f>
              <c:numCache>
                <c:formatCode>General</c:formatCode>
                <c:ptCount val="8"/>
                <c:pt idx="0">
                  <c:v>30</c:v>
                </c:pt>
                <c:pt idx="1">
                  <c:v>21.7</c:v>
                </c:pt>
                <c:pt idx="2" formatCode="0.0">
                  <c:v>6.4444444444444438</c:v>
                </c:pt>
                <c:pt idx="3" formatCode="0.0">
                  <c:v>10.222222222222221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7-4E2E-8893-91AF0EA9360A}"/>
            </c:ext>
          </c:extLst>
        </c:ser>
        <c:ser>
          <c:idx val="3"/>
          <c:order val="3"/>
          <c:tx>
            <c:strRef>
              <c:f>'5- Roadmap'!$K$6</c:f>
              <c:strCache>
                <c:ptCount val="1"/>
                <c:pt idx="0">
                  <c:v>Remaining
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M1 Foundation</c:v>
              </c:pt>
              <c:pt idx="1">
                <c:v>M2 Story</c:v>
              </c:pt>
              <c:pt idx="2">
                <c:v>M3 Branding</c:v>
              </c:pt>
              <c:pt idx="3">
                <c:v>M4 Website</c:v>
              </c:pt>
              <c:pt idx="4">
                <c:v>M5 Community</c:v>
              </c:pt>
              <c:pt idx="5">
                <c:v>M6 Board Game</c:v>
              </c:pt>
              <c:pt idx="7">
                <c:v>M7 Release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'5- Roadmap'!$K$7:$K$56</c15:sqref>
                  </c15:fullRef>
                </c:ext>
              </c:extLst>
              <c:f>('5- Roadmap'!$K$7,'5- Roadmap'!$K$18,'5- Roadmap'!$K$29,'5- Roadmap'!$K$36,'5- Roadmap'!$K$43,'5- Roadmap'!$K$48,'5- Roadmap'!$K$55:$K$56)</c:f>
              <c:numCache>
                <c:formatCode>General</c:formatCode>
                <c:ptCount val="8"/>
                <c:pt idx="0">
                  <c:v>0</c:v>
                </c:pt>
                <c:pt idx="1">
                  <c:v>9.3000000000000007</c:v>
                </c:pt>
                <c:pt idx="2" formatCode="0.0">
                  <c:v>22.555555555555557</c:v>
                </c:pt>
                <c:pt idx="3" formatCode="0.0">
                  <c:v>35.777777777777779</c:v>
                </c:pt>
                <c:pt idx="4">
                  <c:v>30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37-4E2E-8893-91AF0EA9360A}"/>
            </c:ext>
          </c:extLst>
        </c:ser>
        <c:ser>
          <c:idx val="4"/>
          <c:order val="4"/>
          <c:tx>
            <c:v>Today</c:v>
          </c:tx>
          <c:spPr>
            <a:solidFill>
              <a:schemeClr val="accent5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Lit>
              <c:ptCount val="8"/>
              <c:pt idx="0">
                <c:v>M1 Foundation</c:v>
              </c:pt>
              <c:pt idx="11">
                <c:v>M2 Story</c:v>
              </c:pt>
              <c:pt idx="22">
                <c:v>M3 Branding</c:v>
              </c:pt>
              <c:pt idx="29">
                <c:v>M4 Website</c:v>
              </c:pt>
              <c:pt idx="36">
                <c:v>M5 Community</c:v>
              </c:pt>
              <c:pt idx="41">
                <c:v>M6 Board Game</c:v>
              </c:pt>
              <c:pt idx="49">
                <c:v>M7 Release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'5- Roadmap'!$T$4</c15:sqref>
                  </c15:fullRef>
                </c:ext>
              </c:extLst>
              <c:f>'5- Roadmap'!$T$4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37-4E2E-8893-91AF0EA93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305984"/>
        <c:axId val="1308306464"/>
      </c:barChart>
      <c:catAx>
        <c:axId val="1308305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06464"/>
        <c:crosses val="autoZero"/>
        <c:auto val="1"/>
        <c:lblAlgn val="ctr"/>
        <c:lblOffset val="100"/>
        <c:noMultiLvlLbl val="0"/>
      </c:catAx>
      <c:valAx>
        <c:axId val="1308306464"/>
        <c:scaling>
          <c:orientation val="minMax"/>
          <c:max val="46461"/>
          <c:min val="46296"/>
        </c:scaling>
        <c:delete val="0"/>
        <c:axPos val="t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190499</xdr:colOff>
      <xdr:row>4</xdr:row>
      <xdr:rowOff>166686</xdr:rowOff>
    </xdr:from>
    <xdr:to>
      <xdr:col>72</xdr:col>
      <xdr:colOff>27214</xdr:colOff>
      <xdr:row>63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4FC62-625A-CD51-C864-4FEAC9B4A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E29F-857E-408E-A0E2-B3F006EB6EB9}">
  <sheetPr>
    <tabColor theme="9" tint="-0.249977111117893"/>
  </sheetPr>
  <dimension ref="B3:K22"/>
  <sheetViews>
    <sheetView workbookViewId="0">
      <selection activeCell="E30" sqref="E30"/>
    </sheetView>
  </sheetViews>
  <sheetFormatPr defaultRowHeight="15" x14ac:dyDescent="0.25"/>
  <cols>
    <col min="3" max="3" width="7.85546875" customWidth="1"/>
    <col min="4" max="4" width="23.85546875" customWidth="1"/>
    <col min="5" max="5" width="14.42578125" customWidth="1"/>
    <col min="6" max="6" width="14" customWidth="1"/>
    <col min="7" max="7" width="14.85546875" customWidth="1"/>
    <col min="8" max="8" width="29.7109375" customWidth="1"/>
  </cols>
  <sheetData>
    <row r="3" spans="2:11" ht="16.5" x14ac:dyDescent="0.25">
      <c r="D3" s="6" t="s">
        <v>33</v>
      </c>
    </row>
    <row r="4" spans="2:11" ht="17.25" thickBot="1" x14ac:dyDescent="0.3">
      <c r="B4" s="6" t="s">
        <v>67</v>
      </c>
    </row>
    <row r="5" spans="2:11" ht="17.25" thickBot="1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K5" t="s">
        <v>68</v>
      </c>
    </row>
    <row r="6" spans="2:11" ht="17.25" thickBot="1" x14ac:dyDescent="0.3">
      <c r="C6" s="2" t="s">
        <v>6</v>
      </c>
      <c r="D6" s="2" t="s">
        <v>7</v>
      </c>
      <c r="E6" s="2" t="s">
        <v>8</v>
      </c>
      <c r="F6" s="4">
        <v>1</v>
      </c>
      <c r="G6" s="7" t="s">
        <v>9</v>
      </c>
      <c r="H6" s="2" t="s">
        <v>10</v>
      </c>
    </row>
    <row r="7" spans="2:11" ht="17.25" thickBot="1" x14ac:dyDescent="0.3">
      <c r="C7" s="2" t="s">
        <v>11</v>
      </c>
      <c r="D7" s="2" t="s">
        <v>12</v>
      </c>
      <c r="E7" s="2" t="s">
        <v>13</v>
      </c>
      <c r="F7" s="4">
        <v>0.8</v>
      </c>
      <c r="G7" s="7" t="s">
        <v>9</v>
      </c>
      <c r="H7" s="2" t="s">
        <v>14</v>
      </c>
      <c r="K7" t="s">
        <v>69</v>
      </c>
    </row>
    <row r="8" spans="2:11" ht="17.25" thickBot="1" x14ac:dyDescent="0.3">
      <c r="C8" s="2" t="s">
        <v>15</v>
      </c>
      <c r="D8" s="2" t="s">
        <v>16</v>
      </c>
      <c r="E8" s="2" t="s">
        <v>17</v>
      </c>
      <c r="F8" s="4">
        <v>0.2</v>
      </c>
      <c r="G8" s="7" t="s">
        <v>9</v>
      </c>
      <c r="H8" s="2" t="s">
        <v>18</v>
      </c>
      <c r="K8" t="s">
        <v>70</v>
      </c>
    </row>
    <row r="9" spans="2:11" ht="17.25" thickBot="1" x14ac:dyDescent="0.3">
      <c r="C9" s="2" t="s">
        <v>19</v>
      </c>
      <c r="D9" s="2" t="s">
        <v>20</v>
      </c>
      <c r="E9" s="2" t="s">
        <v>17</v>
      </c>
      <c r="F9" s="4">
        <v>0</v>
      </c>
      <c r="G9" s="7" t="s">
        <v>9</v>
      </c>
      <c r="H9" s="2" t="s">
        <v>21</v>
      </c>
      <c r="K9" t="s">
        <v>71</v>
      </c>
    </row>
    <row r="10" spans="2:11" ht="17.25" thickBot="1" x14ac:dyDescent="0.3">
      <c r="C10" s="2" t="s">
        <v>22</v>
      </c>
      <c r="D10" s="2" t="s">
        <v>23</v>
      </c>
      <c r="E10" s="2" t="s">
        <v>17</v>
      </c>
      <c r="F10" s="4">
        <v>0</v>
      </c>
      <c r="G10" s="7" t="s">
        <v>24</v>
      </c>
      <c r="H10" s="2" t="s">
        <v>25</v>
      </c>
    </row>
    <row r="11" spans="2:11" ht="17.25" thickBot="1" x14ac:dyDescent="0.3">
      <c r="C11" s="2" t="s">
        <v>26</v>
      </c>
      <c r="D11" s="2" t="s">
        <v>27</v>
      </c>
      <c r="E11" s="2" t="s">
        <v>17</v>
      </c>
      <c r="F11" s="4">
        <v>0</v>
      </c>
      <c r="G11" s="7" t="s">
        <v>24</v>
      </c>
      <c r="H11" s="2" t="s">
        <v>28</v>
      </c>
    </row>
    <row r="12" spans="2:11" ht="17.25" thickBot="1" x14ac:dyDescent="0.3">
      <c r="C12" s="2" t="s">
        <v>29</v>
      </c>
      <c r="D12" s="2" t="s">
        <v>30</v>
      </c>
      <c r="E12" s="2" t="s">
        <v>17</v>
      </c>
      <c r="F12" s="4">
        <v>0</v>
      </c>
      <c r="G12" s="7" t="s">
        <v>31</v>
      </c>
      <c r="H12" s="2" t="s">
        <v>32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CCFF-233B-4C65-A3A9-362980C80D24}">
  <sheetPr>
    <tabColor theme="5" tint="0.39997558519241921"/>
  </sheetPr>
  <dimension ref="C3:N22"/>
  <sheetViews>
    <sheetView workbookViewId="0">
      <selection activeCell="D42" sqref="D42"/>
    </sheetView>
  </sheetViews>
  <sheetFormatPr defaultRowHeight="15" x14ac:dyDescent="0.25"/>
  <cols>
    <col min="3" max="3" width="19.85546875" bestFit="1" customWidth="1"/>
    <col min="4" max="4" width="17.7109375" customWidth="1"/>
    <col min="8" max="8" width="8.85546875" customWidth="1"/>
    <col min="9" max="9" width="17" customWidth="1"/>
    <col min="10" max="10" width="18" customWidth="1"/>
    <col min="11" max="11" width="14.85546875" customWidth="1"/>
    <col min="13" max="13" width="17" customWidth="1"/>
    <col min="14" max="14" width="12.42578125" customWidth="1"/>
  </cols>
  <sheetData>
    <row r="3" spans="3:14" ht="16.5" x14ac:dyDescent="0.25">
      <c r="C3" s="6" t="s">
        <v>34</v>
      </c>
    </row>
    <row r="6" spans="3:14" ht="16.5" x14ac:dyDescent="0.25">
      <c r="C6" s="5" t="s">
        <v>35</v>
      </c>
    </row>
    <row r="7" spans="3:14" ht="17.25" thickBot="1" x14ac:dyDescent="0.3">
      <c r="C7" s="5"/>
      <c r="H7" s="6" t="s">
        <v>75</v>
      </c>
    </row>
    <row r="8" spans="3:14" ht="17.25" thickBot="1" x14ac:dyDescent="0.3">
      <c r="C8" s="1" t="s">
        <v>36</v>
      </c>
      <c r="D8" s="1" t="s">
        <v>8</v>
      </c>
      <c r="H8" s="1" t="s">
        <v>0</v>
      </c>
      <c r="I8" s="1" t="s">
        <v>1</v>
      </c>
      <c r="J8" s="1" t="s">
        <v>2</v>
      </c>
      <c r="K8" s="1" t="s">
        <v>72</v>
      </c>
      <c r="L8" s="1" t="s">
        <v>4</v>
      </c>
      <c r="M8" s="1" t="s">
        <v>73</v>
      </c>
      <c r="N8" s="1" t="s">
        <v>51</v>
      </c>
    </row>
    <row r="9" spans="3:14" ht="17.25" thickBot="1" x14ac:dyDescent="0.3">
      <c r="C9" s="2" t="s">
        <v>37</v>
      </c>
      <c r="D9" s="7" t="s">
        <v>38</v>
      </c>
      <c r="H9" s="2" t="s">
        <v>6</v>
      </c>
      <c r="I9" s="2" t="s">
        <v>7</v>
      </c>
      <c r="J9" s="2" t="s">
        <v>8</v>
      </c>
      <c r="K9" s="7">
        <v>100</v>
      </c>
      <c r="L9" s="7" t="s">
        <v>9</v>
      </c>
      <c r="M9" s="10">
        <v>46296</v>
      </c>
      <c r="N9" s="7" t="s">
        <v>54</v>
      </c>
    </row>
    <row r="10" spans="3:14" ht="17.25" thickBot="1" x14ac:dyDescent="0.3">
      <c r="C10" s="2" t="s">
        <v>39</v>
      </c>
      <c r="D10" s="7" t="s">
        <v>38</v>
      </c>
      <c r="H10" s="2" t="s">
        <v>11</v>
      </c>
      <c r="I10" s="2" t="s">
        <v>12</v>
      </c>
      <c r="J10" s="2" t="s">
        <v>13</v>
      </c>
      <c r="K10" s="7">
        <v>80</v>
      </c>
      <c r="L10" s="7" t="s">
        <v>9</v>
      </c>
      <c r="M10" s="10">
        <v>46327</v>
      </c>
      <c r="N10" s="7" t="s">
        <v>54</v>
      </c>
    </row>
    <row r="11" spans="3:14" ht="17.25" thickBot="1" x14ac:dyDescent="0.3">
      <c r="C11" s="2" t="s">
        <v>40</v>
      </c>
      <c r="D11" s="7" t="s">
        <v>38</v>
      </c>
      <c r="H11" s="2" t="s">
        <v>15</v>
      </c>
      <c r="I11" s="2" t="s">
        <v>16</v>
      </c>
      <c r="J11" s="2" t="s">
        <v>17</v>
      </c>
      <c r="K11" s="7">
        <v>0</v>
      </c>
      <c r="L11" s="7" t="s">
        <v>9</v>
      </c>
      <c r="M11" s="10">
        <v>46327</v>
      </c>
      <c r="N11" s="7" t="s">
        <v>54</v>
      </c>
    </row>
    <row r="12" spans="3:14" ht="17.25" thickBot="1" x14ac:dyDescent="0.3">
      <c r="C12" s="2" t="s">
        <v>41</v>
      </c>
      <c r="D12" s="7" t="s">
        <v>38</v>
      </c>
      <c r="H12" s="2" t="s">
        <v>19</v>
      </c>
      <c r="I12" s="2" t="s">
        <v>20</v>
      </c>
      <c r="J12" s="2" t="s">
        <v>17</v>
      </c>
      <c r="K12" s="7">
        <v>0</v>
      </c>
      <c r="L12" s="7" t="s">
        <v>9</v>
      </c>
      <c r="M12" s="10">
        <v>46357</v>
      </c>
      <c r="N12" s="7" t="s">
        <v>54</v>
      </c>
    </row>
    <row r="13" spans="3:14" ht="17.25" thickBot="1" x14ac:dyDescent="0.3">
      <c r="C13" s="2" t="s">
        <v>42</v>
      </c>
      <c r="D13" s="7" t="s">
        <v>38</v>
      </c>
      <c r="H13" s="2" t="s">
        <v>22</v>
      </c>
      <c r="I13" s="2" t="s">
        <v>23</v>
      </c>
      <c r="J13" s="2" t="s">
        <v>17</v>
      </c>
      <c r="K13" s="7">
        <v>0</v>
      </c>
      <c r="L13" s="7" t="s">
        <v>24</v>
      </c>
      <c r="M13" s="10">
        <v>46388</v>
      </c>
      <c r="N13" s="7" t="s">
        <v>54</v>
      </c>
    </row>
    <row r="14" spans="3:14" ht="17.25" thickBot="1" x14ac:dyDescent="0.3">
      <c r="C14" s="2" t="s">
        <v>43</v>
      </c>
      <c r="D14" s="7" t="s">
        <v>38</v>
      </c>
      <c r="H14" s="2" t="s">
        <v>26</v>
      </c>
      <c r="I14" s="2" t="s">
        <v>27</v>
      </c>
      <c r="J14" s="2" t="s">
        <v>17</v>
      </c>
      <c r="K14" s="7">
        <v>0</v>
      </c>
      <c r="L14" s="7" t="s">
        <v>24</v>
      </c>
      <c r="M14" s="10">
        <v>46419</v>
      </c>
      <c r="N14" s="7" t="s">
        <v>54</v>
      </c>
    </row>
    <row r="15" spans="3:14" ht="17.25" thickBot="1" x14ac:dyDescent="0.3">
      <c r="C15" s="2" t="s">
        <v>44</v>
      </c>
      <c r="D15" s="7" t="s">
        <v>38</v>
      </c>
      <c r="H15" s="2" t="s">
        <v>29</v>
      </c>
      <c r="I15" s="2" t="s">
        <v>74</v>
      </c>
      <c r="J15" s="2" t="s">
        <v>17</v>
      </c>
      <c r="K15" s="7">
        <v>0</v>
      </c>
      <c r="L15" s="7" t="s">
        <v>9</v>
      </c>
      <c r="M15" s="10">
        <v>46447</v>
      </c>
      <c r="N15" s="7" t="s">
        <v>54</v>
      </c>
    </row>
    <row r="16" spans="3:14" ht="17.25" thickBot="1" x14ac:dyDescent="0.3">
      <c r="C16" s="2" t="s">
        <v>23</v>
      </c>
      <c r="D16" s="7" t="s">
        <v>45</v>
      </c>
    </row>
    <row r="17" spans="3:5" ht="17.25" thickBot="1" x14ac:dyDescent="0.3">
      <c r="C17" s="2" t="s">
        <v>46</v>
      </c>
      <c r="D17" s="7" t="s">
        <v>45</v>
      </c>
    </row>
    <row r="18" spans="3:5" ht="17.25" thickBot="1" x14ac:dyDescent="0.3">
      <c r="C18" s="2" t="s">
        <v>47</v>
      </c>
      <c r="D18" s="7" t="s">
        <v>45</v>
      </c>
    </row>
    <row r="22" spans="3:5" x14ac:dyDescent="0.25">
      <c r="D22" t="e" cm="1">
        <f t="array" ref="D22">(Items Completados)/(Items Totales)</f>
        <v>#NAME?</v>
      </c>
      <c r="E22" s="3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AFFD-9806-4A88-BE26-113C2097C211}">
  <dimension ref="C6:G13"/>
  <sheetViews>
    <sheetView workbookViewId="0">
      <selection activeCell="F40" sqref="F40"/>
    </sheetView>
  </sheetViews>
  <sheetFormatPr defaultRowHeight="15" x14ac:dyDescent="0.25"/>
  <cols>
    <col min="3" max="3" width="14.140625" bestFit="1" customWidth="1"/>
    <col min="4" max="4" width="24.42578125" customWidth="1"/>
    <col min="5" max="5" width="15.85546875" customWidth="1"/>
    <col min="6" max="6" width="18" customWidth="1"/>
  </cols>
  <sheetData>
    <row r="6" spans="3:7" ht="17.25" thickBot="1" x14ac:dyDescent="0.3">
      <c r="C6" s="6" t="s">
        <v>87</v>
      </c>
    </row>
    <row r="7" spans="3:7" ht="33.75" thickBot="1" x14ac:dyDescent="0.3">
      <c r="C7" s="1" t="s">
        <v>76</v>
      </c>
      <c r="D7" s="1" t="s">
        <v>36</v>
      </c>
      <c r="E7" s="1" t="s">
        <v>77</v>
      </c>
      <c r="F7" s="1" t="s">
        <v>2</v>
      </c>
      <c r="G7" s="1" t="s">
        <v>78</v>
      </c>
    </row>
    <row r="8" spans="3:7" ht="17.25" thickBot="1" x14ac:dyDescent="0.3">
      <c r="C8" s="7">
        <v>2.1</v>
      </c>
      <c r="D8" s="2" t="s">
        <v>79</v>
      </c>
      <c r="E8" s="2" t="s">
        <v>80</v>
      </c>
      <c r="F8" s="2" t="s">
        <v>8</v>
      </c>
      <c r="G8" s="2">
        <v>100</v>
      </c>
    </row>
    <row r="9" spans="3:7" ht="17.25" thickBot="1" x14ac:dyDescent="0.3">
      <c r="C9" s="7">
        <v>2.2000000000000002</v>
      </c>
      <c r="D9" s="2" t="s">
        <v>81</v>
      </c>
      <c r="E9" s="2" t="s">
        <v>80</v>
      </c>
      <c r="F9" s="2" t="s">
        <v>8</v>
      </c>
      <c r="G9" s="2">
        <v>100</v>
      </c>
    </row>
    <row r="10" spans="3:7" ht="17.25" thickBot="1" x14ac:dyDescent="0.3">
      <c r="C10" s="7" t="s">
        <v>82</v>
      </c>
      <c r="D10" s="2" t="s">
        <v>83</v>
      </c>
      <c r="E10" s="2" t="s">
        <v>12</v>
      </c>
      <c r="F10" s="2" t="s">
        <v>8</v>
      </c>
      <c r="G10" s="2">
        <v>100</v>
      </c>
    </row>
    <row r="11" spans="3:7" ht="17.25" thickBot="1" x14ac:dyDescent="0.3">
      <c r="C11" s="7" t="s">
        <v>84</v>
      </c>
      <c r="D11" s="2" t="s">
        <v>39</v>
      </c>
      <c r="E11" s="2" t="s">
        <v>12</v>
      </c>
      <c r="F11" s="2" t="s">
        <v>8</v>
      </c>
      <c r="G11" s="2">
        <v>100</v>
      </c>
    </row>
    <row r="12" spans="3:7" ht="17.25" thickBot="1" x14ac:dyDescent="0.3">
      <c r="C12" s="7" t="s">
        <v>85</v>
      </c>
      <c r="D12" s="2" t="s">
        <v>40</v>
      </c>
      <c r="E12" s="2" t="s">
        <v>12</v>
      </c>
      <c r="F12" s="2" t="s">
        <v>8</v>
      </c>
      <c r="G12" s="2">
        <v>100</v>
      </c>
    </row>
    <row r="13" spans="3:7" ht="17.25" thickBot="1" x14ac:dyDescent="0.3">
      <c r="C13" s="7" t="s">
        <v>86</v>
      </c>
      <c r="D13" s="2" t="s">
        <v>41</v>
      </c>
      <c r="E13" s="2" t="s">
        <v>12</v>
      </c>
      <c r="F13" s="2" t="s">
        <v>8</v>
      </c>
      <c r="G13" s="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C59A-C40E-4B0B-9EF6-9A76269FE4D8}">
  <dimension ref="C6:E18"/>
  <sheetViews>
    <sheetView workbookViewId="0">
      <selection activeCell="J35" sqref="J35"/>
    </sheetView>
  </sheetViews>
  <sheetFormatPr defaultRowHeight="15" x14ac:dyDescent="0.25"/>
  <cols>
    <col min="3" max="3" width="15.7109375" customWidth="1"/>
    <col min="4" max="4" width="16.5703125" customWidth="1"/>
    <col min="5" max="5" width="23" customWidth="1"/>
  </cols>
  <sheetData>
    <row r="6" spans="3:5" ht="17.25" thickBot="1" x14ac:dyDescent="0.3">
      <c r="C6" s="6" t="s">
        <v>90</v>
      </c>
    </row>
    <row r="7" spans="3:5" ht="66.75" thickBot="1" x14ac:dyDescent="0.3">
      <c r="C7" s="1" t="s">
        <v>1</v>
      </c>
      <c r="D7" s="1" t="s">
        <v>88</v>
      </c>
      <c r="E7" s="1" t="s">
        <v>89</v>
      </c>
    </row>
    <row r="8" spans="3:5" ht="33.75" thickBot="1" x14ac:dyDescent="0.3">
      <c r="C8" s="7" t="s">
        <v>11</v>
      </c>
      <c r="D8" s="2" t="s">
        <v>37</v>
      </c>
      <c r="E8" s="7" t="s">
        <v>38</v>
      </c>
    </row>
    <row r="9" spans="3:5" ht="17.25" thickBot="1" x14ac:dyDescent="0.3">
      <c r="C9" s="7" t="s">
        <v>11</v>
      </c>
      <c r="D9" s="2" t="s">
        <v>39</v>
      </c>
      <c r="E9" s="7" t="s">
        <v>38</v>
      </c>
    </row>
    <row r="10" spans="3:5" ht="17.25" thickBot="1" x14ac:dyDescent="0.3">
      <c r="C10" s="7" t="s">
        <v>11</v>
      </c>
      <c r="D10" s="2" t="s">
        <v>40</v>
      </c>
      <c r="E10" s="7" t="s">
        <v>38</v>
      </c>
    </row>
    <row r="11" spans="3:5" ht="17.25" thickBot="1" x14ac:dyDescent="0.3">
      <c r="C11" s="7" t="s">
        <v>11</v>
      </c>
      <c r="D11" s="2" t="s">
        <v>41</v>
      </c>
      <c r="E11" s="7" t="s">
        <v>38</v>
      </c>
    </row>
    <row r="12" spans="3:5" ht="17.25" thickBot="1" x14ac:dyDescent="0.3">
      <c r="C12" s="7" t="s">
        <v>11</v>
      </c>
      <c r="D12" s="2" t="s">
        <v>42</v>
      </c>
      <c r="E12" s="7" t="s">
        <v>38</v>
      </c>
    </row>
    <row r="13" spans="3:5" ht="17.25" thickBot="1" x14ac:dyDescent="0.3">
      <c r="C13" s="7" t="s">
        <v>11</v>
      </c>
      <c r="D13" s="2" t="s">
        <v>43</v>
      </c>
      <c r="E13" s="7" t="s">
        <v>38</v>
      </c>
    </row>
    <row r="14" spans="3:5" ht="17.25" thickBot="1" x14ac:dyDescent="0.3">
      <c r="C14" s="7" t="s">
        <v>11</v>
      </c>
      <c r="D14" s="2" t="s">
        <v>44</v>
      </c>
      <c r="E14" s="7" t="s">
        <v>38</v>
      </c>
    </row>
    <row r="15" spans="3:5" ht="17.25" thickBot="1" x14ac:dyDescent="0.3">
      <c r="C15" s="7" t="s">
        <v>11</v>
      </c>
      <c r="D15" s="2" t="s">
        <v>23</v>
      </c>
      <c r="E15" s="7" t="s">
        <v>45</v>
      </c>
    </row>
    <row r="16" spans="3:5" ht="17.25" thickBot="1" x14ac:dyDescent="0.3">
      <c r="C16" s="7" t="s">
        <v>11</v>
      </c>
      <c r="D16" s="2" t="s">
        <v>46</v>
      </c>
      <c r="E16" s="7" t="s">
        <v>45</v>
      </c>
    </row>
    <row r="17" spans="3:5" ht="17.25" thickBot="1" x14ac:dyDescent="0.3">
      <c r="C17" s="7" t="s">
        <v>11</v>
      </c>
      <c r="D17" s="2" t="s">
        <v>47</v>
      </c>
      <c r="E17" s="7" t="s">
        <v>45</v>
      </c>
    </row>
    <row r="18" spans="3:5" x14ac:dyDescent="0.25">
      <c r="C18">
        <f>COUNTIF('2- Milestone Details'!C2:C11,"Yes")/COUNTA('2- Milestone Details'!C2:C11)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6F74-665C-4AA8-BD11-7C8EC454B0E9}">
  <dimension ref="A1:AO63"/>
  <sheetViews>
    <sheetView tabSelected="1" topLeftCell="A28" zoomScale="85" zoomScaleNormal="85" workbookViewId="0">
      <selection activeCell="N16" sqref="N16"/>
    </sheetView>
  </sheetViews>
  <sheetFormatPr defaultColWidth="3.28515625" defaultRowHeight="15" x14ac:dyDescent="0.25"/>
  <cols>
    <col min="2" max="2" width="23.140625" customWidth="1"/>
    <col min="3" max="3" width="8" customWidth="1"/>
    <col min="4" max="4" width="38" customWidth="1"/>
    <col min="5" max="5" width="11.140625" bestFit="1" customWidth="1"/>
    <col min="6" max="6" width="14" customWidth="1"/>
    <col min="7" max="7" width="10.140625" bestFit="1" customWidth="1"/>
    <col min="8" max="8" width="7.28515625" bestFit="1" customWidth="1"/>
    <col min="9" max="9" width="10" bestFit="1" customWidth="1"/>
    <col min="10" max="10" width="12.85546875" customWidth="1"/>
    <col min="11" max="11" width="11.85546875" customWidth="1"/>
    <col min="20" max="20" width="13.7109375" customWidth="1"/>
  </cols>
  <sheetData>
    <row r="1" spans="1:4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Q3" t="s">
        <v>179</v>
      </c>
      <c r="T3" s="11">
        <f ca="1">TODAY()</f>
        <v>46319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x14ac:dyDescent="0.25">
      <c r="O4" t="s">
        <v>180</v>
      </c>
      <c r="T4">
        <f ca="1">TODAY()-DATE(2026,10,1)</f>
        <v>23</v>
      </c>
    </row>
    <row r="5" spans="1:41" ht="15.75" thickBot="1" x14ac:dyDescent="0.3">
      <c r="G5" s="15" t="s">
        <v>178</v>
      </c>
    </row>
    <row r="6" spans="1:41" ht="50.25" thickBot="1" x14ac:dyDescent="0.3">
      <c r="B6" s="1" t="s">
        <v>1</v>
      </c>
      <c r="C6" s="1"/>
      <c r="D6" s="1"/>
      <c r="E6" s="1" t="s">
        <v>101</v>
      </c>
      <c r="F6" s="1" t="s">
        <v>102</v>
      </c>
      <c r="G6" s="1" t="s">
        <v>142</v>
      </c>
      <c r="H6" s="1" t="s">
        <v>143</v>
      </c>
      <c r="I6" s="1" t="s">
        <v>144</v>
      </c>
      <c r="J6" s="1" t="s">
        <v>176</v>
      </c>
      <c r="K6" s="1" t="s">
        <v>177</v>
      </c>
    </row>
    <row r="7" spans="1:41" ht="17.25" thickBot="1" x14ac:dyDescent="0.3">
      <c r="B7" s="22" t="s">
        <v>133</v>
      </c>
      <c r="C7" s="23"/>
      <c r="D7" s="23"/>
      <c r="E7" s="24">
        <v>46296</v>
      </c>
      <c r="F7" s="24">
        <v>46326</v>
      </c>
      <c r="G7" s="25">
        <f>F7-E7</f>
        <v>30</v>
      </c>
      <c r="H7" s="25">
        <f>G7-8</f>
        <v>22</v>
      </c>
      <c r="I7" s="26">
        <f>COUNTIF(C8:C17,TRUE)/COUNTA(D8:D17)</f>
        <v>1</v>
      </c>
      <c r="J7" s="25">
        <f>G7*I7</f>
        <v>30</v>
      </c>
      <c r="K7" s="25">
        <f>G7-J7</f>
        <v>0</v>
      </c>
    </row>
    <row r="8" spans="1:41" ht="17.25" thickBot="1" x14ac:dyDescent="0.3">
      <c r="B8" s="16"/>
      <c r="C8" s="19" t="b">
        <v>1</v>
      </c>
      <c r="D8" s="16" t="s">
        <v>145</v>
      </c>
      <c r="E8" s="17"/>
      <c r="F8" s="17"/>
      <c r="G8" s="15"/>
      <c r="H8" s="15"/>
      <c r="I8" s="21">
        <f>IF(C8,100%,0%)</f>
        <v>1</v>
      </c>
      <c r="J8" s="15"/>
      <c r="K8" s="15"/>
    </row>
    <row r="9" spans="1:41" ht="17.25" thickBot="1" x14ac:dyDescent="0.3">
      <c r="B9" s="16"/>
      <c r="C9" s="19" t="b">
        <v>1</v>
      </c>
      <c r="D9" s="16" t="s">
        <v>146</v>
      </c>
      <c r="E9" s="17"/>
      <c r="F9" s="17"/>
      <c r="G9" s="15"/>
      <c r="H9" s="15"/>
      <c r="I9" s="21">
        <f t="shared" ref="I9:I17" si="0">IF(C9,100%,0%)</f>
        <v>1</v>
      </c>
      <c r="J9" s="15"/>
      <c r="K9" s="15"/>
    </row>
    <row r="10" spans="1:41" ht="17.25" thickBot="1" x14ac:dyDescent="0.3">
      <c r="B10" s="16"/>
      <c r="C10" s="19" t="b">
        <v>1</v>
      </c>
      <c r="D10" s="16" t="s">
        <v>147</v>
      </c>
      <c r="E10" s="17"/>
      <c r="F10" s="17"/>
      <c r="G10" s="15"/>
      <c r="H10" s="15"/>
      <c r="I10" s="21">
        <f t="shared" si="0"/>
        <v>1</v>
      </c>
      <c r="J10" s="15"/>
      <c r="K10" s="15"/>
    </row>
    <row r="11" spans="1:41" ht="17.25" thickBot="1" x14ac:dyDescent="0.3">
      <c r="B11" s="16"/>
      <c r="C11" s="19" t="b">
        <v>1</v>
      </c>
      <c r="D11" s="16" t="s">
        <v>148</v>
      </c>
      <c r="E11" s="17"/>
      <c r="F11" s="17"/>
      <c r="G11" s="15"/>
      <c r="H11" s="15"/>
      <c r="I11" s="21">
        <f t="shared" si="0"/>
        <v>1</v>
      </c>
      <c r="J11" s="15"/>
      <c r="K11" s="15"/>
    </row>
    <row r="12" spans="1:41" ht="17.25" thickBot="1" x14ac:dyDescent="0.3">
      <c r="B12" s="16"/>
      <c r="C12" s="19" t="b">
        <v>1</v>
      </c>
      <c r="D12" s="16" t="s">
        <v>149</v>
      </c>
      <c r="E12" s="17"/>
      <c r="F12" s="17"/>
      <c r="G12" s="15"/>
      <c r="H12" s="15"/>
      <c r="I12" s="21">
        <f t="shared" si="0"/>
        <v>1</v>
      </c>
      <c r="J12" s="15"/>
      <c r="K12" s="15"/>
    </row>
    <row r="13" spans="1:41" ht="17.25" thickBot="1" x14ac:dyDescent="0.3">
      <c r="B13" s="16"/>
      <c r="C13" s="19" t="b">
        <v>1</v>
      </c>
      <c r="D13" s="16" t="s">
        <v>150</v>
      </c>
      <c r="E13" s="17"/>
      <c r="F13" s="17"/>
      <c r="G13" s="15"/>
      <c r="H13" s="15"/>
      <c r="I13" s="21">
        <f t="shared" si="0"/>
        <v>1</v>
      </c>
      <c r="J13" s="15"/>
      <c r="K13" s="15"/>
    </row>
    <row r="14" spans="1:41" ht="17.25" thickBot="1" x14ac:dyDescent="0.3">
      <c r="B14" s="16"/>
      <c r="C14" s="19" t="b">
        <v>1</v>
      </c>
      <c r="D14" s="16" t="s">
        <v>151</v>
      </c>
      <c r="E14" s="17"/>
      <c r="F14" s="17"/>
      <c r="G14" s="15"/>
      <c r="H14" s="15"/>
      <c r="I14" s="21">
        <f t="shared" si="0"/>
        <v>1</v>
      </c>
      <c r="J14" s="15"/>
      <c r="K14" s="15"/>
    </row>
    <row r="15" spans="1:41" ht="17.25" thickBot="1" x14ac:dyDescent="0.3">
      <c r="B15" s="16"/>
      <c r="C15" s="19" t="b">
        <v>1</v>
      </c>
      <c r="D15" s="16" t="s">
        <v>152</v>
      </c>
      <c r="E15" s="17"/>
      <c r="F15" s="17"/>
      <c r="G15" s="15"/>
      <c r="H15" s="15"/>
      <c r="I15" s="21">
        <f t="shared" si="0"/>
        <v>1</v>
      </c>
      <c r="J15" s="15"/>
      <c r="K15" s="15"/>
    </row>
    <row r="16" spans="1:41" ht="17.25" thickBot="1" x14ac:dyDescent="0.3">
      <c r="B16" s="16"/>
      <c r="C16" s="19" t="b">
        <v>1</v>
      </c>
      <c r="D16" s="16" t="s">
        <v>153</v>
      </c>
      <c r="E16" s="17"/>
      <c r="F16" s="17"/>
      <c r="G16" s="15"/>
      <c r="H16" s="15"/>
      <c r="I16" s="21">
        <f t="shared" si="0"/>
        <v>1</v>
      </c>
      <c r="J16" s="15"/>
      <c r="K16" s="15"/>
    </row>
    <row r="17" spans="2:15" ht="17.25" thickBot="1" x14ac:dyDescent="0.3">
      <c r="B17" s="16"/>
      <c r="C17" s="19" t="b">
        <v>1</v>
      </c>
      <c r="D17" s="16" t="s">
        <v>154</v>
      </c>
      <c r="E17" s="17"/>
      <c r="F17" s="17"/>
      <c r="G17" s="15"/>
      <c r="H17" s="15"/>
      <c r="I17" s="21">
        <f t="shared" si="0"/>
        <v>1</v>
      </c>
      <c r="J17" s="15"/>
      <c r="K17" s="15"/>
      <c r="L17" s="15"/>
      <c r="M17" s="15"/>
      <c r="O17" s="15"/>
    </row>
    <row r="18" spans="2:15" ht="17.25" thickBot="1" x14ac:dyDescent="0.3">
      <c r="B18" s="22" t="s">
        <v>134</v>
      </c>
      <c r="C18" s="23"/>
      <c r="D18" s="23"/>
      <c r="E18" s="24">
        <v>46310</v>
      </c>
      <c r="F18" s="24">
        <v>46341</v>
      </c>
      <c r="G18" s="25">
        <f>F18-E18</f>
        <v>31</v>
      </c>
      <c r="H18" s="25">
        <f>G18-8</f>
        <v>23</v>
      </c>
      <c r="I18" s="26">
        <f>COUNTIF(C19:C28,TRUE)/COUNTA(D19:D28)</f>
        <v>0.7</v>
      </c>
      <c r="J18" s="25">
        <f>G18*I18</f>
        <v>21.7</v>
      </c>
      <c r="K18" s="25">
        <f>G18-J18</f>
        <v>9.3000000000000007</v>
      </c>
      <c r="L18" s="15"/>
      <c r="M18" s="15"/>
    </row>
    <row r="19" spans="2:15" ht="17.25" thickBot="1" x14ac:dyDescent="0.3">
      <c r="B19" s="16"/>
      <c r="C19" s="19" t="b">
        <v>1</v>
      </c>
      <c r="D19" s="16" t="s">
        <v>37</v>
      </c>
      <c r="E19" s="17"/>
      <c r="F19" s="17"/>
      <c r="G19" s="15"/>
      <c r="H19" s="15"/>
      <c r="I19" s="21">
        <f>IF(C19,100%,0%)</f>
        <v>1</v>
      </c>
      <c r="J19" s="15"/>
      <c r="K19" s="15"/>
    </row>
    <row r="20" spans="2:15" ht="17.25" thickBot="1" x14ac:dyDescent="0.3">
      <c r="B20" s="16"/>
      <c r="C20" s="19" t="b">
        <v>1</v>
      </c>
      <c r="D20" s="16" t="s">
        <v>39</v>
      </c>
      <c r="E20" s="17"/>
      <c r="F20" s="17"/>
      <c r="G20" s="15"/>
      <c r="H20" s="15"/>
      <c r="I20" s="21">
        <f t="shared" ref="I20:I28" si="1">IF(C20,100%,0%)</f>
        <v>1</v>
      </c>
      <c r="J20" s="15"/>
      <c r="K20" s="15"/>
    </row>
    <row r="21" spans="2:15" ht="17.25" thickBot="1" x14ac:dyDescent="0.3">
      <c r="B21" s="16"/>
      <c r="C21" s="19" t="b">
        <v>1</v>
      </c>
      <c r="D21" s="16" t="s">
        <v>40</v>
      </c>
      <c r="E21" s="17"/>
      <c r="F21" s="17"/>
      <c r="G21" s="15"/>
      <c r="H21" s="15"/>
      <c r="I21" s="21">
        <f t="shared" si="1"/>
        <v>1</v>
      </c>
      <c r="J21" s="15"/>
      <c r="K21" s="15"/>
    </row>
    <row r="22" spans="2:15" ht="17.25" thickBot="1" x14ac:dyDescent="0.3">
      <c r="B22" s="16"/>
      <c r="C22" s="19" t="b">
        <v>1</v>
      </c>
      <c r="D22" s="16" t="s">
        <v>41</v>
      </c>
      <c r="E22" s="17"/>
      <c r="F22" s="17"/>
      <c r="G22" s="15"/>
      <c r="H22" s="15"/>
      <c r="I22" s="21">
        <f t="shared" si="1"/>
        <v>1</v>
      </c>
      <c r="J22" s="15"/>
      <c r="K22" s="15"/>
    </row>
    <row r="23" spans="2:15" ht="17.25" thickBot="1" x14ac:dyDescent="0.3">
      <c r="B23" s="16"/>
      <c r="C23" s="19" t="b">
        <v>1</v>
      </c>
      <c r="D23" s="16" t="s">
        <v>42</v>
      </c>
      <c r="E23" s="17"/>
      <c r="F23" s="17"/>
      <c r="G23" s="15"/>
      <c r="H23" s="15"/>
      <c r="I23" s="21">
        <f t="shared" si="1"/>
        <v>1</v>
      </c>
      <c r="J23" s="15"/>
      <c r="K23" s="15"/>
    </row>
    <row r="24" spans="2:15" ht="17.25" thickBot="1" x14ac:dyDescent="0.3">
      <c r="B24" s="16"/>
      <c r="C24" s="19" t="b">
        <v>1</v>
      </c>
      <c r="D24" s="16" t="s">
        <v>43</v>
      </c>
      <c r="E24" s="17"/>
      <c r="F24" s="17"/>
      <c r="G24" s="15"/>
      <c r="H24" s="15"/>
      <c r="I24" s="21">
        <f t="shared" si="1"/>
        <v>1</v>
      </c>
      <c r="J24" s="15"/>
      <c r="K24" s="15"/>
    </row>
    <row r="25" spans="2:15" ht="17.25" thickBot="1" x14ac:dyDescent="0.3">
      <c r="B25" s="16"/>
      <c r="C25" s="19" t="b">
        <v>1</v>
      </c>
      <c r="D25" s="16" t="s">
        <v>44</v>
      </c>
      <c r="E25" s="17"/>
      <c r="F25" s="17"/>
      <c r="G25" s="15"/>
      <c r="H25" s="15"/>
      <c r="I25" s="21">
        <f t="shared" si="1"/>
        <v>1</v>
      </c>
      <c r="J25" s="15"/>
      <c r="K25" s="15"/>
    </row>
    <row r="26" spans="2:15" ht="17.25" thickBot="1" x14ac:dyDescent="0.3">
      <c r="B26" s="16"/>
      <c r="C26" s="19" t="b">
        <v>0</v>
      </c>
      <c r="D26" s="16" t="s">
        <v>23</v>
      </c>
      <c r="E26" s="17"/>
      <c r="F26" s="17"/>
      <c r="G26" s="15"/>
      <c r="H26" s="15"/>
      <c r="I26" s="21">
        <f t="shared" si="1"/>
        <v>0</v>
      </c>
      <c r="J26" s="15"/>
      <c r="K26" s="15"/>
    </row>
    <row r="27" spans="2:15" ht="17.25" thickBot="1" x14ac:dyDescent="0.3">
      <c r="B27" s="16"/>
      <c r="C27" s="19" t="b">
        <v>0</v>
      </c>
      <c r="D27" s="16" t="s">
        <v>46</v>
      </c>
      <c r="E27" s="17"/>
      <c r="F27" s="17"/>
      <c r="G27" s="15"/>
      <c r="H27" s="15"/>
      <c r="I27" s="21">
        <f t="shared" si="1"/>
        <v>0</v>
      </c>
      <c r="J27" s="15"/>
      <c r="K27" s="15"/>
    </row>
    <row r="28" spans="2:15" ht="17.25" thickBot="1" x14ac:dyDescent="0.3">
      <c r="B28" s="16"/>
      <c r="C28" s="19" t="b">
        <v>0</v>
      </c>
      <c r="D28" s="16" t="s">
        <v>47</v>
      </c>
      <c r="E28" s="17"/>
      <c r="F28" s="17"/>
      <c r="G28" s="15"/>
      <c r="H28" s="15"/>
      <c r="I28" s="21">
        <f t="shared" si="1"/>
        <v>0</v>
      </c>
      <c r="J28" s="15"/>
      <c r="K28" s="15"/>
    </row>
    <row r="29" spans="2:15" ht="17.25" thickBot="1" x14ac:dyDescent="0.3">
      <c r="B29" s="22" t="s">
        <v>135</v>
      </c>
      <c r="C29" s="23"/>
      <c r="D29" s="23"/>
      <c r="E29" s="24">
        <v>46327</v>
      </c>
      <c r="F29" s="24">
        <v>46356</v>
      </c>
      <c r="G29" s="25">
        <f>F29-E29</f>
        <v>29</v>
      </c>
      <c r="H29" s="25">
        <f>G29-8</f>
        <v>21</v>
      </c>
      <c r="I29" s="26">
        <f>COUNTIF(C30:C39,TRUE)/COUNTA(D30:D39)</f>
        <v>0.22222222222222221</v>
      </c>
      <c r="J29" s="27">
        <f>G29*I29</f>
        <v>6.4444444444444438</v>
      </c>
      <c r="K29" s="27">
        <f>G29-J29</f>
        <v>22.555555555555557</v>
      </c>
    </row>
    <row r="30" spans="2:15" ht="17.25" thickBot="1" x14ac:dyDescent="0.3">
      <c r="B30" s="16"/>
      <c r="C30" s="19" t="b">
        <v>0</v>
      </c>
      <c r="D30" s="16" t="s">
        <v>155</v>
      </c>
      <c r="E30" s="17"/>
      <c r="F30" s="17"/>
      <c r="G30" s="15"/>
      <c r="H30" s="15"/>
      <c r="I30" s="21">
        <f t="shared" ref="I30" si="2">IF(C30,100%,0%)</f>
        <v>0</v>
      </c>
      <c r="J30" s="15"/>
      <c r="K30" s="15"/>
    </row>
    <row r="31" spans="2:15" ht="17.25" thickBot="1" x14ac:dyDescent="0.3">
      <c r="B31" s="16"/>
      <c r="C31" s="19" t="b">
        <v>0</v>
      </c>
      <c r="D31" s="16" t="s">
        <v>156</v>
      </c>
      <c r="E31" s="17"/>
      <c r="F31" s="17"/>
      <c r="G31" s="15"/>
      <c r="H31" s="15"/>
      <c r="I31" s="21">
        <f t="shared" ref="I31:I35" si="3">IF(C31,100%,0%)</f>
        <v>0</v>
      </c>
      <c r="J31" s="15"/>
      <c r="K31" s="15"/>
    </row>
    <row r="32" spans="2:15" ht="17.25" thickBot="1" x14ac:dyDescent="0.3">
      <c r="B32" s="16"/>
      <c r="C32" s="19" t="b">
        <v>0</v>
      </c>
      <c r="D32" s="16" t="s">
        <v>157</v>
      </c>
      <c r="E32" s="17"/>
      <c r="F32" s="17"/>
      <c r="G32" s="15"/>
      <c r="H32" s="15"/>
      <c r="I32" s="21">
        <f t="shared" si="3"/>
        <v>0</v>
      </c>
      <c r="J32" s="15"/>
      <c r="K32" s="15"/>
    </row>
    <row r="33" spans="2:11" ht="17.25" thickBot="1" x14ac:dyDescent="0.3">
      <c r="B33" s="16"/>
      <c r="C33" s="19" t="b">
        <v>0</v>
      </c>
      <c r="D33" s="16" t="s">
        <v>158</v>
      </c>
      <c r="E33" s="17"/>
      <c r="F33" s="17"/>
      <c r="G33" s="15"/>
      <c r="H33" s="15"/>
      <c r="I33" s="21">
        <f t="shared" si="3"/>
        <v>0</v>
      </c>
      <c r="J33" s="15"/>
      <c r="K33" s="15"/>
    </row>
    <row r="34" spans="2:11" ht="17.25" thickBot="1" x14ac:dyDescent="0.3">
      <c r="B34" s="16"/>
      <c r="C34" s="19" t="b">
        <v>0</v>
      </c>
      <c r="D34" s="16" t="s">
        <v>159</v>
      </c>
      <c r="E34" s="17"/>
      <c r="F34" s="17"/>
      <c r="G34" s="15"/>
      <c r="H34" s="15"/>
      <c r="I34" s="21">
        <f t="shared" si="3"/>
        <v>0</v>
      </c>
      <c r="J34" s="15"/>
      <c r="K34" s="15"/>
    </row>
    <row r="35" spans="2:11" ht="17.25" thickBot="1" x14ac:dyDescent="0.3">
      <c r="B35" s="16"/>
      <c r="C35" s="19" t="b">
        <v>0</v>
      </c>
      <c r="D35" s="16" t="s">
        <v>160</v>
      </c>
      <c r="E35" s="17"/>
      <c r="F35" s="17"/>
      <c r="G35" s="15"/>
      <c r="H35" s="15"/>
      <c r="I35" s="21">
        <f t="shared" si="3"/>
        <v>0</v>
      </c>
      <c r="J35" s="15"/>
      <c r="K35" s="15"/>
    </row>
    <row r="36" spans="2:11" ht="17.25" thickBot="1" x14ac:dyDescent="0.3">
      <c r="B36" s="22" t="s">
        <v>136</v>
      </c>
      <c r="C36" s="23"/>
      <c r="D36" s="23"/>
      <c r="E36" s="24">
        <v>46341</v>
      </c>
      <c r="F36" s="24">
        <v>46387</v>
      </c>
      <c r="G36" s="25">
        <f>F36-E36</f>
        <v>46</v>
      </c>
      <c r="H36" s="25">
        <f>G36-8</f>
        <v>38</v>
      </c>
      <c r="I36" s="26">
        <f>COUNTIF(C37:C46,TRUE)/COUNTA(D37:D46)</f>
        <v>0.22222222222222221</v>
      </c>
      <c r="J36" s="27">
        <f>G36*I36</f>
        <v>10.222222222222221</v>
      </c>
      <c r="K36" s="27">
        <f>G36-J36</f>
        <v>35.777777777777779</v>
      </c>
    </row>
    <row r="37" spans="2:11" ht="17.25" thickBot="1" x14ac:dyDescent="0.3">
      <c r="B37" s="16"/>
      <c r="C37" s="19" t="b">
        <v>1</v>
      </c>
      <c r="D37" s="16" t="s">
        <v>161</v>
      </c>
      <c r="E37" s="17"/>
      <c r="F37" s="17"/>
      <c r="G37" s="15"/>
      <c r="H37" s="15"/>
      <c r="I37" s="21">
        <f t="shared" ref="I37" si="4">IF(C37,100%,0%)</f>
        <v>1</v>
      </c>
      <c r="J37" s="15"/>
      <c r="K37" s="15"/>
    </row>
    <row r="38" spans="2:11" ht="17.25" thickBot="1" x14ac:dyDescent="0.3">
      <c r="B38" s="16"/>
      <c r="C38" s="19" t="b">
        <v>1</v>
      </c>
      <c r="D38" s="16" t="s">
        <v>162</v>
      </c>
      <c r="E38" s="17"/>
      <c r="F38" s="17"/>
      <c r="G38" s="15"/>
      <c r="H38" s="15"/>
      <c r="I38" s="21">
        <f t="shared" ref="I38:I42" si="5">IF(C38,100%,0%)</f>
        <v>1</v>
      </c>
      <c r="J38" s="15"/>
      <c r="K38" s="15"/>
    </row>
    <row r="39" spans="2:11" ht="17.25" thickBot="1" x14ac:dyDescent="0.3">
      <c r="B39" s="16"/>
      <c r="C39" s="19" t="b">
        <v>0</v>
      </c>
      <c r="D39" s="16" t="s">
        <v>163</v>
      </c>
      <c r="E39" s="17"/>
      <c r="F39" s="17"/>
      <c r="G39" s="15"/>
      <c r="H39" s="15"/>
      <c r="I39" s="21">
        <f t="shared" si="5"/>
        <v>0</v>
      </c>
      <c r="J39" s="15"/>
      <c r="K39" s="15"/>
    </row>
    <row r="40" spans="2:11" ht="17.25" thickBot="1" x14ac:dyDescent="0.3">
      <c r="B40" s="16"/>
      <c r="C40" s="19" t="b">
        <v>0</v>
      </c>
      <c r="D40" s="16" t="s">
        <v>181</v>
      </c>
      <c r="E40" s="17"/>
      <c r="F40" s="17"/>
      <c r="G40" s="15"/>
      <c r="H40" s="15"/>
      <c r="I40" s="21">
        <f t="shared" si="5"/>
        <v>0</v>
      </c>
      <c r="J40" s="15"/>
      <c r="K40" s="15"/>
    </row>
    <row r="41" spans="2:11" ht="17.25" thickBot="1" x14ac:dyDescent="0.3">
      <c r="B41" s="16"/>
      <c r="C41" s="19" t="b">
        <v>0</v>
      </c>
      <c r="D41" s="16" t="s">
        <v>164</v>
      </c>
      <c r="E41" s="17"/>
      <c r="F41" s="17"/>
      <c r="G41" s="15"/>
      <c r="H41" s="15"/>
      <c r="I41" s="21">
        <f t="shared" si="5"/>
        <v>0</v>
      </c>
      <c r="J41" s="15"/>
      <c r="K41" s="15"/>
    </row>
    <row r="42" spans="2:11" ht="17.25" thickBot="1" x14ac:dyDescent="0.3">
      <c r="B42" s="16"/>
      <c r="C42" s="19" t="b">
        <v>0</v>
      </c>
      <c r="D42" s="16" t="s">
        <v>165</v>
      </c>
      <c r="E42" s="17"/>
      <c r="F42" s="17"/>
      <c r="G42" s="15"/>
      <c r="H42" s="15"/>
      <c r="I42" s="21">
        <f t="shared" si="5"/>
        <v>0</v>
      </c>
      <c r="J42" s="15"/>
      <c r="K42" s="15"/>
    </row>
    <row r="43" spans="2:11" ht="17.25" thickBot="1" x14ac:dyDescent="0.3">
      <c r="B43" s="22" t="s">
        <v>137</v>
      </c>
      <c r="C43" s="23"/>
      <c r="D43" s="23"/>
      <c r="E43" s="24">
        <v>46388</v>
      </c>
      <c r="F43" s="24">
        <v>46418</v>
      </c>
      <c r="G43" s="25">
        <f>F43-E43</f>
        <v>30</v>
      </c>
      <c r="H43" s="25">
        <f>G43-8</f>
        <v>22</v>
      </c>
      <c r="I43" s="26">
        <f>COUNTIF(C44:C53,TRUE)/COUNTA(D44:D53)</f>
        <v>0</v>
      </c>
      <c r="J43" s="25">
        <f>G43*I43</f>
        <v>0</v>
      </c>
      <c r="K43" s="25">
        <f>G43-J43</f>
        <v>30</v>
      </c>
    </row>
    <row r="44" spans="2:11" ht="17.25" thickBot="1" x14ac:dyDescent="0.3">
      <c r="B44" s="16"/>
      <c r="C44" s="19" t="b">
        <v>0</v>
      </c>
      <c r="D44" s="16" t="s">
        <v>166</v>
      </c>
      <c r="E44" s="17"/>
      <c r="F44" s="17"/>
      <c r="G44" s="15"/>
      <c r="H44" s="15"/>
      <c r="I44" s="21">
        <f t="shared" ref="I44" si="6">IF(C44,100%,0%)</f>
        <v>0</v>
      </c>
      <c r="J44" s="15"/>
      <c r="K44" s="15"/>
    </row>
    <row r="45" spans="2:11" ht="17.25" thickBot="1" x14ac:dyDescent="0.3">
      <c r="B45" s="16"/>
      <c r="C45" s="19" t="b">
        <v>0</v>
      </c>
      <c r="D45" s="16" t="s">
        <v>167</v>
      </c>
      <c r="E45" s="17"/>
      <c r="F45" s="17"/>
      <c r="G45" s="15"/>
      <c r="H45" s="15"/>
      <c r="I45" s="21">
        <f t="shared" ref="I45:I47" si="7">IF(C45,100%,0%)</f>
        <v>0</v>
      </c>
      <c r="J45" s="15"/>
      <c r="K45" s="15"/>
    </row>
    <row r="46" spans="2:11" ht="17.25" thickBot="1" x14ac:dyDescent="0.3">
      <c r="B46" s="16"/>
      <c r="C46" s="19" t="b">
        <v>0</v>
      </c>
      <c r="D46" s="16" t="s">
        <v>168</v>
      </c>
      <c r="E46" s="17"/>
      <c r="F46" s="17"/>
      <c r="G46" s="15"/>
      <c r="H46" s="15"/>
      <c r="I46" s="21">
        <f t="shared" si="7"/>
        <v>0</v>
      </c>
      <c r="J46" s="15"/>
      <c r="K46" s="15"/>
    </row>
    <row r="47" spans="2:11" ht="17.25" thickBot="1" x14ac:dyDescent="0.3">
      <c r="B47" s="16"/>
      <c r="C47" s="19" t="b">
        <v>0</v>
      </c>
      <c r="D47" s="16" t="s">
        <v>169</v>
      </c>
      <c r="E47" s="17"/>
      <c r="F47" s="17"/>
      <c r="G47" s="15"/>
      <c r="H47" s="15"/>
      <c r="I47" s="21">
        <f t="shared" si="7"/>
        <v>0</v>
      </c>
      <c r="J47" s="15"/>
      <c r="K47" s="15"/>
    </row>
    <row r="48" spans="2:11" ht="17.25" thickBot="1" x14ac:dyDescent="0.3">
      <c r="B48" s="22" t="s">
        <v>138</v>
      </c>
      <c r="C48" s="23"/>
      <c r="D48" s="23"/>
      <c r="E48" s="24">
        <v>46402</v>
      </c>
      <c r="F48" s="24">
        <v>46446</v>
      </c>
      <c r="G48" s="25">
        <f>F48-E48</f>
        <v>44</v>
      </c>
      <c r="H48" s="25">
        <f>G48-8</f>
        <v>36</v>
      </c>
      <c r="I48" s="26">
        <f>COUNTIF(C49:C59,TRUE)/COUNTA(D49:D59)</f>
        <v>0</v>
      </c>
      <c r="J48" s="25">
        <f>G48*I48</f>
        <v>0</v>
      </c>
      <c r="K48" s="25">
        <f>G48-J48</f>
        <v>44</v>
      </c>
    </row>
    <row r="49" spans="2:11" ht="17.25" thickBot="1" x14ac:dyDescent="0.3">
      <c r="B49" s="16"/>
      <c r="C49" s="19" t="b">
        <v>0</v>
      </c>
      <c r="D49" s="16" t="s">
        <v>183</v>
      </c>
      <c r="E49" s="17"/>
      <c r="F49" s="17"/>
      <c r="G49" s="15"/>
      <c r="H49" s="15"/>
      <c r="I49" s="21">
        <f t="shared" ref="I49" si="8">IF(C49,100%,0%)</f>
        <v>0</v>
      </c>
      <c r="J49" s="15"/>
      <c r="K49" s="15"/>
    </row>
    <row r="50" spans="2:11" ht="17.25" thickBot="1" x14ac:dyDescent="0.3">
      <c r="B50" s="16"/>
      <c r="C50" s="19" t="b">
        <v>0</v>
      </c>
      <c r="D50" s="16" t="s">
        <v>170</v>
      </c>
      <c r="E50" s="17"/>
      <c r="F50" s="17"/>
      <c r="G50" s="15"/>
      <c r="H50" s="15"/>
      <c r="I50" s="21">
        <f t="shared" ref="I50:I55" si="9">IF(C50,100%,0%)</f>
        <v>0</v>
      </c>
      <c r="J50" s="15"/>
      <c r="K50" s="15"/>
    </row>
    <row r="51" spans="2:11" ht="17.25" thickBot="1" x14ac:dyDescent="0.3">
      <c r="B51" s="16"/>
      <c r="C51" s="19" t="b">
        <v>0</v>
      </c>
      <c r="D51" s="16" t="s">
        <v>171</v>
      </c>
      <c r="E51" s="17"/>
      <c r="F51" s="17"/>
      <c r="G51" s="15"/>
      <c r="H51" s="15"/>
      <c r="I51" s="21">
        <f t="shared" si="9"/>
        <v>0</v>
      </c>
      <c r="J51" s="15"/>
      <c r="K51" s="15"/>
    </row>
    <row r="52" spans="2:11" ht="17.25" thickBot="1" x14ac:dyDescent="0.3">
      <c r="B52" s="16"/>
      <c r="C52" s="19" t="b">
        <v>0</v>
      </c>
      <c r="D52" s="16" t="s">
        <v>172</v>
      </c>
      <c r="E52" s="17"/>
      <c r="F52" s="17"/>
      <c r="G52" s="15"/>
      <c r="H52" s="15"/>
      <c r="I52" s="21">
        <f t="shared" si="9"/>
        <v>0</v>
      </c>
      <c r="J52" s="15"/>
      <c r="K52" s="15"/>
    </row>
    <row r="53" spans="2:11" ht="17.25" thickBot="1" x14ac:dyDescent="0.3">
      <c r="B53" s="16"/>
      <c r="C53" s="19" t="b">
        <v>0</v>
      </c>
      <c r="D53" s="16" t="s">
        <v>173</v>
      </c>
      <c r="E53" s="17"/>
      <c r="F53" s="17"/>
      <c r="G53" s="15"/>
      <c r="H53" s="15"/>
      <c r="I53" s="21">
        <f t="shared" si="9"/>
        <v>0</v>
      </c>
      <c r="J53" s="15"/>
      <c r="K53" s="15"/>
    </row>
    <row r="54" spans="2:11" ht="17.25" thickBot="1" x14ac:dyDescent="0.3">
      <c r="B54" s="16"/>
      <c r="C54" s="19" t="b">
        <v>0</v>
      </c>
      <c r="D54" s="16" t="s">
        <v>174</v>
      </c>
      <c r="E54" s="17"/>
      <c r="F54" s="17"/>
      <c r="G54" s="15"/>
      <c r="H54" s="15"/>
      <c r="I54" s="21">
        <f t="shared" si="9"/>
        <v>0</v>
      </c>
      <c r="J54" s="15"/>
      <c r="K54" s="15"/>
    </row>
    <row r="55" spans="2:11" ht="17.25" thickBot="1" x14ac:dyDescent="0.3">
      <c r="B55" s="28"/>
      <c r="C55" s="19" t="b">
        <v>0</v>
      </c>
      <c r="D55" s="29" t="s">
        <v>182</v>
      </c>
      <c r="E55" s="17"/>
      <c r="F55" s="17"/>
      <c r="G55" s="15"/>
      <c r="H55" s="15"/>
      <c r="I55" s="21">
        <f t="shared" si="9"/>
        <v>0</v>
      </c>
      <c r="J55" s="15"/>
      <c r="K55" s="15"/>
    </row>
    <row r="56" spans="2:11" ht="17.25" thickBot="1" x14ac:dyDescent="0.3">
      <c r="B56" s="22" t="s">
        <v>139</v>
      </c>
      <c r="C56" s="23"/>
      <c r="D56" s="23"/>
      <c r="E56" s="24">
        <v>46433</v>
      </c>
      <c r="F56" s="24">
        <v>46461</v>
      </c>
      <c r="G56" s="25">
        <f>F56-E56</f>
        <v>28</v>
      </c>
      <c r="H56" s="25">
        <f>G56-8</f>
        <v>20</v>
      </c>
      <c r="I56" s="26">
        <f>COUNTIF(C57:C66,TRUE)/COUNTA(D57:D66)</f>
        <v>0</v>
      </c>
      <c r="J56" s="23"/>
      <c r="K56" s="23"/>
    </row>
    <row r="57" spans="2:11" ht="17.25" thickBot="1" x14ac:dyDescent="0.3">
      <c r="C57" s="19" t="b">
        <v>0</v>
      </c>
      <c r="D57" s="20" t="s">
        <v>175</v>
      </c>
      <c r="E57" s="17"/>
      <c r="F57" s="17"/>
      <c r="G57" s="15"/>
      <c r="H57" s="15"/>
    </row>
    <row r="58" spans="2:11" x14ac:dyDescent="0.25">
      <c r="D58" s="15"/>
      <c r="G58" s="18"/>
      <c r="H58" s="15">
        <f>SUM(H7:H57)</f>
        <v>182</v>
      </c>
      <c r="I58" s="18"/>
    </row>
    <row r="59" spans="2:11" ht="15.75" thickBot="1" x14ac:dyDescent="0.3"/>
    <row r="60" spans="2:11" ht="17.25" thickBot="1" x14ac:dyDescent="0.3">
      <c r="B60" s="2" t="s">
        <v>140</v>
      </c>
      <c r="C60" s="2"/>
      <c r="D60" s="2"/>
      <c r="E60" s="14">
        <v>46296</v>
      </c>
    </row>
    <row r="61" spans="2:11" ht="17.25" thickBot="1" x14ac:dyDescent="0.3">
      <c r="B61" t="s">
        <v>141</v>
      </c>
      <c r="E61" s="14">
        <v>46461</v>
      </c>
    </row>
    <row r="63" spans="2:11" x14ac:dyDescent="0.25">
      <c r="D63" s="15" t="s">
        <v>184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CF53-E84D-477F-8248-7B03594CF27A}">
  <dimension ref="C4:H9"/>
  <sheetViews>
    <sheetView workbookViewId="0">
      <selection activeCell="E28" sqref="E28"/>
    </sheetView>
  </sheetViews>
  <sheetFormatPr defaultRowHeight="15" x14ac:dyDescent="0.25"/>
  <cols>
    <col min="4" max="4" width="21" customWidth="1"/>
    <col min="5" max="5" width="15.42578125" customWidth="1"/>
    <col min="6" max="6" width="16.7109375" customWidth="1"/>
    <col min="7" max="7" width="7.85546875" bestFit="1" customWidth="1"/>
    <col min="8" max="8" width="21.5703125" customWidth="1"/>
  </cols>
  <sheetData>
    <row r="4" spans="3:8" ht="17.25" thickBot="1" x14ac:dyDescent="0.3">
      <c r="C4" s="6" t="s">
        <v>99</v>
      </c>
    </row>
    <row r="5" spans="3:8" ht="33.75" thickBot="1" x14ac:dyDescent="0.3">
      <c r="C5" s="1" t="s">
        <v>0</v>
      </c>
      <c r="D5" s="1" t="s">
        <v>48</v>
      </c>
      <c r="E5" s="1" t="s">
        <v>50</v>
      </c>
      <c r="F5" s="1" t="s">
        <v>49</v>
      </c>
      <c r="G5" s="1" t="s">
        <v>91</v>
      </c>
      <c r="H5" s="1" t="s">
        <v>92</v>
      </c>
    </row>
    <row r="6" spans="3:8" ht="17.25" thickBot="1" x14ac:dyDescent="0.3">
      <c r="C6" s="2" t="s">
        <v>52</v>
      </c>
      <c r="D6" s="2" t="s">
        <v>53</v>
      </c>
      <c r="E6" s="7" t="s">
        <v>9</v>
      </c>
      <c r="F6" s="7" t="s">
        <v>9</v>
      </c>
      <c r="G6" s="7">
        <v>9</v>
      </c>
      <c r="H6" s="2" t="s">
        <v>93</v>
      </c>
    </row>
    <row r="7" spans="3:8" ht="17.25" thickBot="1" x14ac:dyDescent="0.3">
      <c r="C7" s="2" t="s">
        <v>55</v>
      </c>
      <c r="D7" s="2" t="s">
        <v>94</v>
      </c>
      <c r="E7" s="7" t="s">
        <v>9</v>
      </c>
      <c r="F7" s="7" t="s">
        <v>24</v>
      </c>
      <c r="G7" s="7">
        <v>6</v>
      </c>
      <c r="H7" s="2" t="s">
        <v>95</v>
      </c>
    </row>
    <row r="8" spans="3:8" ht="17.25" thickBot="1" x14ac:dyDescent="0.3">
      <c r="C8" s="2" t="s">
        <v>57</v>
      </c>
      <c r="D8" s="2" t="s">
        <v>96</v>
      </c>
      <c r="E8" s="7" t="s">
        <v>24</v>
      </c>
      <c r="F8" s="7" t="s">
        <v>24</v>
      </c>
      <c r="G8" s="7">
        <v>4</v>
      </c>
      <c r="H8" s="2" t="s">
        <v>56</v>
      </c>
    </row>
    <row r="9" spans="3:8" ht="17.25" thickBot="1" x14ac:dyDescent="0.3">
      <c r="C9" s="2" t="s">
        <v>97</v>
      </c>
      <c r="D9" s="2" t="s">
        <v>58</v>
      </c>
      <c r="E9" s="7" t="s">
        <v>9</v>
      </c>
      <c r="F9" s="7" t="s">
        <v>9</v>
      </c>
      <c r="G9" s="7">
        <v>9</v>
      </c>
      <c r="H9" s="2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EA93-F951-4770-BAC9-1BBE7DBC76A4}">
  <dimension ref="D5:H11"/>
  <sheetViews>
    <sheetView workbookViewId="0">
      <selection activeCell="C24" sqref="C24"/>
    </sheetView>
  </sheetViews>
  <sheetFormatPr defaultRowHeight="15" x14ac:dyDescent="0.25"/>
  <cols>
    <col min="4" max="4" width="10.140625" customWidth="1"/>
    <col min="5" max="5" width="28.28515625" customWidth="1"/>
    <col min="6" max="6" width="13.5703125" customWidth="1"/>
    <col min="7" max="7" width="14" customWidth="1"/>
    <col min="8" max="8" width="20.28515625" customWidth="1"/>
  </cols>
  <sheetData>
    <row r="5" spans="4:8" ht="16.5" x14ac:dyDescent="0.25">
      <c r="D5" s="6" t="s">
        <v>111</v>
      </c>
    </row>
    <row r="6" spans="4:8" ht="16.5" x14ac:dyDescent="0.25">
      <c r="D6" s="5" t="s">
        <v>103</v>
      </c>
    </row>
    <row r="7" spans="4:8" ht="17.25" thickBot="1" x14ac:dyDescent="0.3">
      <c r="D7" s="5"/>
    </row>
    <row r="8" spans="4:8" ht="33.75" thickBot="1" x14ac:dyDescent="0.3">
      <c r="D8" s="1" t="s">
        <v>104</v>
      </c>
      <c r="E8" s="1" t="s">
        <v>100</v>
      </c>
      <c r="F8" s="1" t="s">
        <v>1</v>
      </c>
      <c r="G8" s="1" t="s">
        <v>2</v>
      </c>
      <c r="H8" s="1" t="s">
        <v>105</v>
      </c>
    </row>
    <row r="9" spans="4:8" ht="50.25" thickBot="1" x14ac:dyDescent="0.3">
      <c r="D9" s="2" t="s">
        <v>106</v>
      </c>
      <c r="E9" s="2" t="s">
        <v>14</v>
      </c>
      <c r="F9" s="2" t="s">
        <v>11</v>
      </c>
      <c r="G9" s="2" t="s">
        <v>107</v>
      </c>
      <c r="H9" s="12">
        <v>46341</v>
      </c>
    </row>
    <row r="10" spans="4:8" ht="50.25" thickBot="1" x14ac:dyDescent="0.3">
      <c r="D10" s="2" t="s">
        <v>108</v>
      </c>
      <c r="E10" s="2" t="s">
        <v>109</v>
      </c>
      <c r="F10" s="2" t="s">
        <v>15</v>
      </c>
      <c r="G10" s="2" t="s">
        <v>107</v>
      </c>
      <c r="H10" s="12">
        <v>46346</v>
      </c>
    </row>
    <row r="11" spans="4:8" ht="33.75" thickBot="1" x14ac:dyDescent="0.3">
      <c r="D11" s="2" t="s">
        <v>110</v>
      </c>
      <c r="E11" s="2" t="s">
        <v>21</v>
      </c>
      <c r="F11" s="2" t="s">
        <v>19</v>
      </c>
      <c r="G11" s="2" t="s">
        <v>107</v>
      </c>
      <c r="H11" s="12">
        <v>46351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0EB6-F502-474E-82D1-01E4F0AFA7B0}">
  <dimension ref="C3:E8"/>
  <sheetViews>
    <sheetView workbookViewId="0">
      <selection activeCell="G44" sqref="G44"/>
    </sheetView>
  </sheetViews>
  <sheetFormatPr defaultRowHeight="15" x14ac:dyDescent="0.25"/>
  <cols>
    <col min="3" max="3" width="11.140625" customWidth="1"/>
    <col min="4" max="4" width="41" customWidth="1"/>
    <col min="5" max="5" width="36.85546875" customWidth="1"/>
  </cols>
  <sheetData>
    <row r="3" spans="3:5" ht="16.5" x14ac:dyDescent="0.25">
      <c r="C3" s="6" t="s">
        <v>59</v>
      </c>
    </row>
    <row r="4" spans="3:5" ht="15.75" thickBot="1" x14ac:dyDescent="0.3"/>
    <row r="5" spans="3:5" ht="17.25" thickBot="1" x14ac:dyDescent="0.3">
      <c r="C5" s="1" t="s">
        <v>60</v>
      </c>
      <c r="D5" s="1" t="s">
        <v>112</v>
      </c>
      <c r="E5" s="1" t="s">
        <v>42</v>
      </c>
    </row>
    <row r="6" spans="3:5" ht="17.25" thickBot="1" x14ac:dyDescent="0.3">
      <c r="C6" s="10">
        <v>46296</v>
      </c>
      <c r="D6" s="2" t="s">
        <v>113</v>
      </c>
      <c r="E6" s="2" t="s">
        <v>61</v>
      </c>
    </row>
    <row r="7" spans="3:5" ht="33.75" thickBot="1" x14ac:dyDescent="0.3">
      <c r="C7" s="10">
        <v>46296</v>
      </c>
      <c r="D7" s="2" t="s">
        <v>114</v>
      </c>
      <c r="E7" s="2" t="s">
        <v>115</v>
      </c>
    </row>
    <row r="8" spans="3:5" x14ac:dyDescent="0.25">
      <c r="C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0E6-D476-41C4-9416-7006EB225EA3}">
  <dimension ref="C4:E10"/>
  <sheetViews>
    <sheetView workbookViewId="0">
      <selection activeCell="O35" sqref="O35"/>
    </sheetView>
  </sheetViews>
  <sheetFormatPr defaultRowHeight="15" x14ac:dyDescent="0.25"/>
  <cols>
    <col min="4" max="4" width="16.140625" customWidth="1"/>
    <col min="5" max="5" width="24.140625" customWidth="1"/>
  </cols>
  <sheetData>
    <row r="4" spans="3:5" ht="16.5" x14ac:dyDescent="0.25">
      <c r="C4" s="6" t="s">
        <v>116</v>
      </c>
    </row>
    <row r="5" spans="3:5" ht="15.75" thickBot="1" x14ac:dyDescent="0.3"/>
    <row r="6" spans="3:5" ht="33.75" thickBot="1" x14ac:dyDescent="0.3">
      <c r="C6" s="1" t="s">
        <v>117</v>
      </c>
      <c r="D6" s="1" t="s">
        <v>60</v>
      </c>
      <c r="E6" s="1" t="s">
        <v>118</v>
      </c>
    </row>
    <row r="7" spans="3:5" ht="17.25" thickBot="1" x14ac:dyDescent="0.3">
      <c r="C7" s="7">
        <v>1</v>
      </c>
      <c r="D7" s="10">
        <v>46296</v>
      </c>
      <c r="E7" s="2" t="s">
        <v>119</v>
      </c>
    </row>
    <row r="8" spans="3:5" ht="17.25" thickBot="1" x14ac:dyDescent="0.3">
      <c r="C8" s="7">
        <v>1.1000000000000001</v>
      </c>
      <c r="D8" s="10">
        <v>46327</v>
      </c>
      <c r="E8" s="2" t="s">
        <v>120</v>
      </c>
    </row>
    <row r="9" spans="3:5" ht="17.25" thickBot="1" x14ac:dyDescent="0.3">
      <c r="C9" s="7">
        <v>1.2</v>
      </c>
      <c r="D9" s="10">
        <v>46327</v>
      </c>
      <c r="E9" s="2" t="s">
        <v>121</v>
      </c>
    </row>
    <row r="10" spans="3:5" ht="17.25" thickBot="1" x14ac:dyDescent="0.3">
      <c r="C10" s="7">
        <v>1.3</v>
      </c>
      <c r="D10" s="10">
        <v>46357</v>
      </c>
      <c r="E10" s="2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217C-4D94-44DE-AA17-83482E6EA3E0}">
  <dimension ref="C4:G20"/>
  <sheetViews>
    <sheetView workbookViewId="0">
      <selection activeCell="T28" sqref="T28"/>
    </sheetView>
  </sheetViews>
  <sheetFormatPr defaultRowHeight="15" x14ac:dyDescent="0.25"/>
  <sheetData>
    <row r="4" spans="3:7" ht="16.5" x14ac:dyDescent="0.25">
      <c r="C4" s="6" t="s">
        <v>123</v>
      </c>
    </row>
    <row r="5" spans="3:7" ht="16.5" x14ac:dyDescent="0.25">
      <c r="C5" s="6" t="s">
        <v>132</v>
      </c>
      <c r="D5" s="13"/>
      <c r="E5" s="13"/>
      <c r="F5" s="13"/>
      <c r="G5" s="13"/>
    </row>
    <row r="7" spans="3:7" x14ac:dyDescent="0.25">
      <c r="C7" t="s">
        <v>124</v>
      </c>
    </row>
    <row r="8" spans="3:7" x14ac:dyDescent="0.25">
      <c r="C8" t="s">
        <v>125</v>
      </c>
    </row>
    <row r="10" spans="3:7" x14ac:dyDescent="0.25">
      <c r="C10" t="s">
        <v>126</v>
      </c>
    </row>
    <row r="11" spans="3:7" x14ac:dyDescent="0.25">
      <c r="C11" t="s">
        <v>14</v>
      </c>
    </row>
    <row r="13" spans="3:7" x14ac:dyDescent="0.25">
      <c r="C13" t="s">
        <v>127</v>
      </c>
    </row>
    <row r="14" spans="3:7" x14ac:dyDescent="0.25">
      <c r="C14" t="s">
        <v>128</v>
      </c>
    </row>
    <row r="16" spans="3:7" x14ac:dyDescent="0.25">
      <c r="C16" t="s">
        <v>129</v>
      </c>
    </row>
    <row r="17" spans="3:3" x14ac:dyDescent="0.25">
      <c r="C17" s="3">
        <v>0.3</v>
      </c>
    </row>
    <row r="19" spans="3:3" x14ac:dyDescent="0.25">
      <c r="C19" t="s">
        <v>130</v>
      </c>
    </row>
    <row r="20" spans="3:3" x14ac:dyDescent="0.25">
      <c r="C20" t="s">
        <v>131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432821-41d3-4015-8400-4ae6558dd28f}" enabled="1" method="Privileged" siteId="{8c7a02b0-b409-4a14-8332-6772575f45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1- SMART Tracking Dasboard</vt:lpstr>
      <vt:lpstr>2- Milestone Details</vt:lpstr>
      <vt:lpstr>3- WBS Tracker</vt:lpstr>
      <vt:lpstr>4- SMART Matrix</vt:lpstr>
      <vt:lpstr>5- Roadmap</vt:lpstr>
      <vt:lpstr>6- Risks</vt:lpstr>
      <vt:lpstr>7- Action Log</vt:lpstr>
      <vt:lpstr>8- Lessons Learned</vt:lpstr>
      <vt:lpstr>9- Version Control</vt:lpstr>
      <vt:lpstr>10- Builder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Rincon, Raul</dc:creator>
  <cp:lastModifiedBy>Raul Rincon</cp:lastModifiedBy>
  <dcterms:created xsi:type="dcterms:W3CDTF">2026-10-23T14:50:07Z</dcterms:created>
  <dcterms:modified xsi:type="dcterms:W3CDTF">2026-10-25T02:15:53Z</dcterms:modified>
</cp:coreProperties>
</file>